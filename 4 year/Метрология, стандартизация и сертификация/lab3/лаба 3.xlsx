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1E8A1380-4566-4F95-AAFE-4DB58E902EDF}" xr6:coauthVersionLast="47" xr6:coauthVersionMax="47" xr10:uidLastSave="{00000000-0000-0000-0000-000000000000}"/>
  <bookViews>
    <workbookView xWindow="2280" yWindow="2280" windowWidth="16200" windowHeight="997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K15" i="1"/>
  <c r="U15" i="1"/>
  <c r="E36" i="1" s="1"/>
  <c r="AE15" i="1"/>
  <c r="E37" i="1"/>
  <c r="E34" i="1"/>
  <c r="L34" i="1" l="1"/>
  <c r="S34" i="1" s="1"/>
  <c r="Z34" i="1" s="1"/>
  <c r="AG35" i="1" s="1"/>
  <c r="AG37" i="1" l="1"/>
  <c r="AG36" i="1"/>
  <c r="AG34" i="1"/>
</calcChain>
</file>

<file path=xl/sharedStrings.xml><?xml version="1.0" encoding="utf-8"?>
<sst xmlns="http://schemas.openxmlformats.org/spreadsheetml/2006/main" count="56" uniqueCount="35">
  <si>
    <t>Модель проявления фоторезиста записана в виде:</t>
  </si>
  <si>
    <r>
      <t>Тп = a</t>
    </r>
    <r>
      <rPr>
        <vertAlign val="subscript"/>
        <sz val="11"/>
        <color indexed="8"/>
        <rFont val="Times New Roman"/>
        <family val="1"/>
        <charset val="204"/>
      </rPr>
      <t xml:space="preserve">0 </t>
    </r>
    <r>
      <rPr>
        <sz val="11"/>
        <color indexed="8"/>
        <rFont val="Times New Roman"/>
        <family val="1"/>
        <charset val="204"/>
      </rPr>
      <t>+ a</t>
    </r>
    <r>
      <rPr>
        <vertAlign val="subscript"/>
        <sz val="11"/>
        <color indexed="8"/>
        <rFont val="Times New Roman"/>
        <family val="1"/>
        <charset val="204"/>
      </rPr>
      <t>1</t>
    </r>
    <r>
      <rPr>
        <sz val="11"/>
        <color indexed="8"/>
        <rFont val="Times New Roman"/>
        <family val="1"/>
        <charset val="204"/>
      </rPr>
      <t>h + a</t>
    </r>
    <r>
      <rPr>
        <vertAlign val="subscript"/>
        <sz val="11"/>
        <color indexed="8"/>
        <rFont val="Times New Roman"/>
        <family val="1"/>
        <charset val="204"/>
      </rPr>
      <t>2</t>
    </r>
    <r>
      <rPr>
        <sz val="11"/>
        <color indexed="8"/>
        <rFont val="Times New Roman"/>
        <family val="1"/>
        <charset val="204"/>
      </rPr>
      <t>t</t>
    </r>
    <r>
      <rPr>
        <vertAlign val="subscript"/>
        <sz val="11"/>
        <color indexed="8"/>
        <rFont val="Times New Roman"/>
        <family val="1"/>
        <charset val="204"/>
      </rPr>
      <t xml:space="preserve">Э </t>
    </r>
    <r>
      <rPr>
        <sz val="11"/>
        <color indexed="8"/>
        <rFont val="Times New Roman"/>
        <family val="1"/>
        <charset val="204"/>
      </rPr>
      <t>+ a</t>
    </r>
    <r>
      <rPr>
        <vertAlign val="subscript"/>
        <sz val="11"/>
        <color indexed="8"/>
        <rFont val="Times New Roman"/>
        <family val="1"/>
        <charset val="204"/>
      </rPr>
      <t>3</t>
    </r>
    <r>
      <rPr>
        <sz val="11"/>
        <color indexed="8"/>
        <rFont val="Times New Roman"/>
        <family val="1"/>
        <charset val="204"/>
      </rPr>
      <t>f , где  tэ - время экспонирования, выраженное в относительных единицах; h - толщина фоторезиста в относительных единицах; f -  концентрация щелочи в проявителе относительных единицах</t>
    </r>
  </si>
  <si>
    <t xml:space="preserve">  1. Составим матрицу планирования дробного факторного эксперимента при количеcтве факторов, равном 3</t>
  </si>
  <si>
    <t>№ опыта</t>
  </si>
  <si>
    <t>X0</t>
  </si>
  <si>
    <t>X1</t>
  </si>
  <si>
    <t>X2</t>
  </si>
  <si>
    <t>X3</t>
  </si>
  <si>
    <t>Y (T)</t>
  </si>
  <si>
    <t>+</t>
  </si>
  <si>
    <t>-</t>
  </si>
  <si>
    <t xml:space="preserve"> 2. Подсчитаем коэффициенты регрессии по формулам:</t>
  </si>
  <si>
    <t>а0</t>
  </si>
  <si>
    <t>а1</t>
  </si>
  <si>
    <t>а2</t>
  </si>
  <si>
    <t>а12</t>
  </si>
  <si>
    <t xml:space="preserve"> Тогда получаем уравнение с учетом подсчитанных коэффициентов:  </t>
  </si>
  <si>
    <t xml:space="preserve">  3. Оценим значимость коэффициентов полинома согласно критерию Стьюдента (возьмем доверительную вероятность 95%=0,95): </t>
  </si>
  <si>
    <t>Коэффициент</t>
  </si>
  <si>
    <t>Значение коэффи-циента</t>
  </si>
  <si>
    <t>Y(T)ср</t>
  </si>
  <si>
    <r>
      <t>S</t>
    </r>
    <r>
      <rPr>
        <vertAlign val="superscript"/>
        <sz val="9"/>
        <color indexed="8"/>
        <rFont val="Times New Roman"/>
        <family val="1"/>
        <charset val="204"/>
      </rPr>
      <t>2</t>
    </r>
  </si>
  <si>
    <t>Sak (оценка ср.кв.откл. ПГ определения коэф.)</t>
  </si>
  <si>
    <t>Расчетные значения коэффициента Стьюдента</t>
  </si>
  <si>
    <t xml:space="preserve">Табличное значение коэф. Стьюдента </t>
  </si>
  <si>
    <t>Значимость коэффициента</t>
  </si>
  <si>
    <t>Наименование коэффиицента Стьюдента</t>
  </si>
  <si>
    <t>зн.</t>
  </si>
  <si>
    <t>t0</t>
  </si>
  <si>
    <t>t1</t>
  </si>
  <si>
    <t>t2</t>
  </si>
  <si>
    <t>t12</t>
  </si>
  <si>
    <t xml:space="preserve">           Данный вид эксперимента, в задачу которого входила оптимизация процесса фотолитографии называется многофакторным экспериментом, так как это исследование, при котором одновременно варьируют все независимые переменные (факторы), оказывающие влияние на процесс или систему. В отличие от традиционных методов, где изменяется один фактор при фиксированных значениях остальных, многофакторный эксперимент предполагает варьирование всех исследуемых факторов одновременно.        </t>
  </si>
  <si>
    <t xml:space="preserve">          Для многофакторного эксперимента используют:
Полные факторные эксперименты (ПФЭ) — предусматривают проведение при всех возможных комбинациях уровней всех входных факторов.
Дробные факторные эксперименты (ДФЭ) — менее затратные по времени и материальным ресурсам из-за меньшего числа опытов.
 План задаётся в виде матрицы планирования, каждая строка которой определяет условия опыта, а каждый столбец — значения контролируемых и управляемых параметров в исследуемом процессе.</t>
  </si>
  <si>
    <t xml:space="preserve">          Исходя из уравнения с учетом найденных коэффициентов на результат эксперимента меньше всего влияет фактор "толщина фоторезиста", а больше всего оказывает воздействие фактор "концентрация щелочи в проявителе в относительных единицах".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</si>
</sst>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vertAlign val="subscript"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vertAlign val="superscript"/>
      <sz val="9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" fillId="0" borderId="11" xfId="0" applyFont="1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1" xfId="0" applyBorder="1" applyAlignment="1">
      <alignment horizontal="left" wrapText="1"/>
    </xf>
    <xf numFmtId="0" fontId="1" fillId="0" borderId="10" xfId="0" applyFont="1" applyBorder="1" applyAlignment="1">
      <alignment horizontal="right" wrapText="1"/>
    </xf>
    <xf numFmtId="0" fontId="0" fillId="0" borderId="12" xfId="0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89454</xdr:colOff>
      <xdr:row>18</xdr:row>
      <xdr:rowOff>165652</xdr:rowOff>
    </xdr:from>
    <xdr:ext cx="1484242" cy="3478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E623FDC-C592-43FF-90F4-C6200ABAE50A}"/>
                </a:ext>
              </a:extLst>
            </xdr:cNvPr>
            <xdr:cNvSpPr txBox="1"/>
          </xdr:nvSpPr>
          <xdr:spPr>
            <a:xfrm>
              <a:off x="89454" y="4518577"/>
              <a:ext cx="1484242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49+71+61+24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</m:t>
                      </m:r>
                    </m:den>
                  </m:f>
                </m:oMath>
              </a14:m>
              <a:r>
                <a:rPr lang="en-US" sz="1100"/>
                <a:t>=51</a:t>
              </a:r>
              <a:r>
                <a:rPr lang="ru-RU" sz="1100"/>
                <a:t>,25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E623FDC-C592-43FF-90F4-C6200ABAE50A}"/>
                </a:ext>
              </a:extLst>
            </xdr:cNvPr>
            <xdr:cNvSpPr txBox="1"/>
          </xdr:nvSpPr>
          <xdr:spPr>
            <a:xfrm>
              <a:off x="89454" y="4518577"/>
              <a:ext cx="1484242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0=(49+71+61+24)/4</a:t>
              </a:r>
              <a:r>
                <a:rPr lang="en-US" sz="1100"/>
                <a:t>=51</a:t>
              </a:r>
              <a:r>
                <a:rPr lang="ru-RU" sz="1100"/>
                <a:t>,25</a:t>
              </a:r>
            </a:p>
          </xdr:txBody>
        </xdr:sp>
      </mc:Fallback>
    </mc:AlternateContent>
    <xdr:clientData/>
  </xdr:oneCellAnchor>
  <xdr:oneCellAnchor>
    <xdr:from>
      <xdr:col>0</xdr:col>
      <xdr:colOff>31475</xdr:colOff>
      <xdr:row>21</xdr:row>
      <xdr:rowOff>14909</xdr:rowOff>
    </xdr:from>
    <xdr:ext cx="2321200" cy="239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ACA9BEE-038F-4C1F-8D51-4D1B79F267B7}"/>
                </a:ext>
              </a:extLst>
            </xdr:cNvPr>
            <xdr:cNvSpPr txBox="1"/>
          </xdr:nvSpPr>
          <xdr:spPr>
            <a:xfrm>
              <a:off x="31475" y="4910759"/>
              <a:ext cx="2321200" cy="239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−49+71−61+24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</m:t>
                      </m:r>
                    </m:den>
                  </m:f>
                </m:oMath>
              </a14:m>
              <a:r>
                <a:rPr lang="en-US" sz="1100"/>
                <a:t>=-3</a:t>
              </a:r>
              <a:r>
                <a:rPr lang="ru-RU" sz="1100"/>
                <a:t>,75</a:t>
              </a:r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ACA9BEE-038F-4C1F-8D51-4D1B79F267B7}"/>
                </a:ext>
              </a:extLst>
            </xdr:cNvPr>
            <xdr:cNvSpPr txBox="1"/>
          </xdr:nvSpPr>
          <xdr:spPr>
            <a:xfrm>
              <a:off x="31475" y="4910759"/>
              <a:ext cx="2321200" cy="239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1=  (−49+71−61+24)/4</a:t>
              </a:r>
              <a:r>
                <a:rPr lang="en-US" sz="1100"/>
                <a:t>=-3</a:t>
              </a:r>
              <a:r>
                <a:rPr lang="ru-RU" sz="1100"/>
                <a:t>,75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41413</xdr:rowOff>
    </xdr:from>
    <xdr:ext cx="2676524" cy="339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3EC84EF-90E5-4940-AC0C-EF6EA6CDEFF6}"/>
                </a:ext>
              </a:extLst>
            </xdr:cNvPr>
            <xdr:cNvSpPr txBox="1"/>
          </xdr:nvSpPr>
          <xdr:spPr>
            <a:xfrm>
              <a:off x="0" y="5356363"/>
              <a:ext cx="2676524" cy="339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−49−71+61+24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</m:t>
                      </m:r>
                    </m:den>
                  </m:f>
                </m:oMath>
              </a14:m>
              <a:r>
                <a:rPr lang="ru-RU" sz="1100"/>
                <a:t>=-8,75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3EC84EF-90E5-4940-AC0C-EF6EA6CDEFF6}"/>
                </a:ext>
              </a:extLst>
            </xdr:cNvPr>
            <xdr:cNvSpPr txBox="1"/>
          </xdr:nvSpPr>
          <xdr:spPr>
            <a:xfrm>
              <a:off x="0" y="5356363"/>
              <a:ext cx="2676524" cy="339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2=  (−49−71+61+24)/4</a:t>
              </a:r>
              <a:r>
                <a:rPr lang="ru-RU" sz="1100"/>
                <a:t>=-8,75</a:t>
              </a:r>
            </a:p>
          </xdr:txBody>
        </xdr:sp>
      </mc:Fallback>
    </mc:AlternateContent>
    <xdr:clientData/>
  </xdr:oneCellAnchor>
  <xdr:oneCellAnchor>
    <xdr:from>
      <xdr:col>0</xdr:col>
      <xdr:colOff>1</xdr:colOff>
      <xdr:row>25</xdr:row>
      <xdr:rowOff>81169</xdr:rowOff>
    </xdr:from>
    <xdr:ext cx="1876424" cy="411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AC6418C-5708-4270-B721-5E5E2FA80879}"/>
                </a:ext>
              </a:extLst>
            </xdr:cNvPr>
            <xdr:cNvSpPr txBox="1"/>
          </xdr:nvSpPr>
          <xdr:spPr>
            <a:xfrm>
              <a:off x="1" y="5815219"/>
              <a:ext cx="1876424" cy="411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12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49−71−61+24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</m:t>
                      </m:r>
                    </m:den>
                  </m:f>
                </m:oMath>
              </a14:m>
              <a:r>
                <a:rPr lang="ru-RU" sz="1100" b="0"/>
                <a:t>=-14,75</a:t>
              </a:r>
            </a:p>
            <a:p>
              <a:endParaRPr lang="en-US" sz="1100" b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AC6418C-5708-4270-B721-5E5E2FA80879}"/>
                </a:ext>
              </a:extLst>
            </xdr:cNvPr>
            <xdr:cNvSpPr txBox="1"/>
          </xdr:nvSpPr>
          <xdr:spPr>
            <a:xfrm>
              <a:off x="1" y="5815219"/>
              <a:ext cx="1876424" cy="411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12=(49−71−61+24)/4</a:t>
              </a:r>
              <a:r>
                <a:rPr lang="ru-RU" sz="1100" b="0"/>
                <a:t>=-14,75</a:t>
              </a:r>
            </a:p>
            <a:p>
              <a:endParaRPr lang="en-US" sz="1100" b="0"/>
            </a:p>
          </xdr:txBody>
        </xdr:sp>
      </mc:Fallback>
    </mc:AlternateContent>
    <xdr:clientData/>
  </xdr:oneCellAnchor>
  <xdr:oneCellAnchor>
    <xdr:from>
      <xdr:col>5</xdr:col>
      <xdr:colOff>14908</xdr:colOff>
      <xdr:row>10</xdr:row>
      <xdr:rowOff>155714</xdr:rowOff>
    </xdr:from>
    <xdr:ext cx="1975817" cy="3411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01E1483-BECD-4F1A-88D4-73200A2DA433}"/>
                </a:ext>
              </a:extLst>
            </xdr:cNvPr>
            <xdr:cNvSpPr txBox="1"/>
          </xdr:nvSpPr>
          <xdr:spPr>
            <a:xfrm>
              <a:off x="491158" y="2994164"/>
              <a:ext cx="1975817" cy="3411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01E1483-BECD-4F1A-88D4-73200A2DA433}"/>
                </a:ext>
              </a:extLst>
            </xdr:cNvPr>
            <xdr:cNvSpPr txBox="1"/>
          </xdr:nvSpPr>
          <xdr:spPr>
            <a:xfrm>
              <a:off x="491158" y="2994164"/>
              <a:ext cx="1975817" cy="3411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0=(∑_(𝑛=1)^𝑁▒𝑦_𝑛 )/𝑁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33</xdr:col>
      <xdr:colOff>31476</xdr:colOff>
      <xdr:row>10</xdr:row>
      <xdr:rowOff>155714</xdr:rowOff>
    </xdr:from>
    <xdr:ext cx="2111650" cy="3411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196407A-6639-4AE1-92A5-4D9464954AD6}"/>
                </a:ext>
              </a:extLst>
            </xdr:cNvPr>
            <xdr:cNvSpPr txBox="1"/>
          </xdr:nvSpPr>
          <xdr:spPr>
            <a:xfrm>
              <a:off x="3174726" y="2994164"/>
              <a:ext cx="2111650" cy="3411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196407A-6639-4AE1-92A5-4D9464954AD6}"/>
                </a:ext>
              </a:extLst>
            </xdr:cNvPr>
            <xdr:cNvSpPr txBox="1"/>
          </xdr:nvSpPr>
          <xdr:spPr>
            <a:xfrm>
              <a:off x="3174726" y="2994164"/>
              <a:ext cx="2111650" cy="3411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𝑖=  (∑_(𝑛=1)^𝑁▒〖𝑥_𝑖𝑛 𝑦_𝑛 〗)/𝑁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31474</xdr:colOff>
      <xdr:row>27</xdr:row>
      <xdr:rowOff>180560</xdr:rowOff>
    </xdr:from>
    <xdr:ext cx="23470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D44798D-EC25-4795-85E7-7252D1A3D513}"/>
                </a:ext>
              </a:extLst>
            </xdr:cNvPr>
            <xdr:cNvSpPr txBox="1"/>
          </xdr:nvSpPr>
          <xdr:spPr>
            <a:xfrm>
              <a:off x="983974" y="6628985"/>
              <a:ext cx="23470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Т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=51,25−3,75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−8,75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−14,75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D44798D-EC25-4795-85E7-7252D1A3D513}"/>
                </a:ext>
              </a:extLst>
            </xdr:cNvPr>
            <xdr:cNvSpPr txBox="1"/>
          </xdr:nvSpPr>
          <xdr:spPr>
            <a:xfrm>
              <a:off x="983974" y="6628985"/>
              <a:ext cx="23470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Т_п=51,25−3,75</a:t>
              </a:r>
              <a:r>
                <a:rPr lang="en-US" sz="1100" b="0" i="0">
                  <a:latin typeface="Cambria Math" panose="02040503050406030204" pitchFamily="18" charset="0"/>
                </a:rPr>
                <a:t>ℎ−8,7</a:t>
              </a:r>
              <a:r>
                <a:rPr lang="ru-RU" sz="1100" b="0" i="0">
                  <a:latin typeface="Cambria Math" panose="02040503050406030204" pitchFamily="18" charset="0"/>
                </a:rPr>
                <a:t>5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_э−14,75</a:t>
              </a:r>
              <a:r>
                <a:rPr lang="en-US" sz="1100" b="0" i="0">
                  <a:latin typeface="Cambria Math" panose="02040503050406030204" pitchFamily="18" charset="0"/>
                </a:rPr>
                <a:t>𝑓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88210</xdr:colOff>
      <xdr:row>31</xdr:row>
      <xdr:rowOff>0</xdr:rowOff>
    </xdr:from>
    <xdr:ext cx="847861" cy="3609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E9B0BBF-68BC-453E-87CA-2A9CFD70BB32}"/>
                </a:ext>
              </a:extLst>
            </xdr:cNvPr>
            <xdr:cNvSpPr txBox="1"/>
          </xdr:nvSpPr>
          <xdr:spPr>
            <a:xfrm>
              <a:off x="564460" y="8620125"/>
              <a:ext cx="847861" cy="3609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E9B0BBF-68BC-453E-87CA-2A9CFD70BB32}"/>
                </a:ext>
              </a:extLst>
            </xdr:cNvPr>
            <xdr:cNvSpPr txBox="1"/>
          </xdr:nvSpPr>
          <xdr:spPr>
            <a:xfrm>
              <a:off x="564460" y="8620125"/>
              <a:ext cx="847861" cy="3609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𝑖=  𝑎_𝑖/√(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n-US" sz="1100" b="0" i="0">
                  <a:latin typeface="Cambria Math" panose="02040503050406030204" pitchFamily="18" charset="0"/>
                </a:rPr>
                <a:t>2 (𝑎_𝑖))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26</xdr:col>
      <xdr:colOff>14909</xdr:colOff>
      <xdr:row>30</xdr:row>
      <xdr:rowOff>234398</xdr:rowOff>
    </xdr:from>
    <xdr:ext cx="998671" cy="338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E17624B-7AE6-4FDC-B15B-54899674D1D1}"/>
                </a:ext>
              </a:extLst>
            </xdr:cNvPr>
            <xdr:cNvSpPr txBox="1"/>
          </xdr:nvSpPr>
          <xdr:spPr>
            <a:xfrm>
              <a:off x="2491409" y="7644848"/>
              <a:ext cx="998671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E17624B-7AE6-4FDC-B15B-54899674D1D1}"/>
                </a:ext>
              </a:extLst>
            </xdr:cNvPr>
            <xdr:cNvSpPr txBox="1"/>
          </xdr:nvSpPr>
          <xdr:spPr>
            <a:xfrm>
              <a:off x="2491409" y="7644848"/>
              <a:ext cx="998671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n-US" sz="1100" b="0" i="0">
                  <a:latin typeface="Cambria Math" panose="02040503050406030204" pitchFamily="18" charset="0"/>
                </a:rPr>
                <a:t>2 (𝑎_𝑖 )=  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n-US" sz="1100" b="0" i="0">
                  <a:latin typeface="Cambria Math" panose="02040503050406030204" pitchFamily="18" charset="0"/>
                </a:rPr>
                <a:t>2 (𝑦))/𝑛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0"/>
  <sheetViews>
    <sheetView tabSelected="1" view="pageLayout" topLeftCell="A3" zoomScaleNormal="100" workbookViewId="0">
      <selection activeCell="AT16" sqref="AT16"/>
    </sheetView>
  </sheetViews>
  <sheetFormatPr defaultColWidth="9.1796875" defaultRowHeight="14" x14ac:dyDescent="0.3"/>
  <cols>
    <col min="1" max="60" width="1.26953125" style="1" customWidth="1"/>
    <col min="61" max="16384" width="9.1796875" style="1"/>
  </cols>
  <sheetData>
    <row r="1" spans="1:60" ht="14.5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</row>
    <row r="2" spans="1:60" ht="54.75" customHeigh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</row>
    <row r="3" spans="1:60" ht="45.75" customHeigh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spans="1:60" ht="15" customHeight="1" x14ac:dyDescent="0.35">
      <c r="A4" s="12" t="s">
        <v>3</v>
      </c>
      <c r="B4" s="13"/>
      <c r="C4" s="13"/>
      <c r="D4" s="13"/>
      <c r="E4" s="13"/>
      <c r="F4" s="23" t="s">
        <v>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2" t="s">
        <v>5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2" t="s">
        <v>6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2" t="s">
        <v>7</v>
      </c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2" t="s">
        <v>8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</row>
    <row r="5" spans="1:60" ht="15.75" customHeight="1" x14ac:dyDescent="0.35">
      <c r="A5" s="14">
        <v>1</v>
      </c>
      <c r="B5" s="15"/>
      <c r="C5" s="15"/>
      <c r="D5" s="15"/>
      <c r="E5" s="16"/>
      <c r="F5" s="17" t="s">
        <v>9</v>
      </c>
      <c r="G5" s="18"/>
      <c r="H5" s="18"/>
      <c r="I5" s="18"/>
      <c r="J5" s="18"/>
      <c r="K5" s="18"/>
      <c r="L5" s="19">
        <v>1</v>
      </c>
      <c r="M5" s="19"/>
      <c r="N5" s="19"/>
      <c r="O5" s="19"/>
      <c r="P5" s="19"/>
      <c r="Q5" s="20" t="s">
        <v>10</v>
      </c>
      <c r="R5" s="18"/>
      <c r="S5" s="18"/>
      <c r="T5" s="18"/>
      <c r="U5" s="18"/>
      <c r="V5" s="18"/>
      <c r="W5" s="19">
        <v>1</v>
      </c>
      <c r="X5" s="19"/>
      <c r="Y5" s="19"/>
      <c r="Z5" s="19"/>
      <c r="AA5" s="21"/>
      <c r="AB5" s="17" t="s">
        <v>10</v>
      </c>
      <c r="AC5" s="18"/>
      <c r="AD5" s="18"/>
      <c r="AE5" s="18"/>
      <c r="AF5" s="18"/>
      <c r="AG5" s="18"/>
      <c r="AH5" s="19">
        <v>1</v>
      </c>
      <c r="AI5" s="19"/>
      <c r="AJ5" s="19"/>
      <c r="AK5" s="19"/>
      <c r="AL5" s="21"/>
      <c r="AM5" s="17" t="s">
        <v>9</v>
      </c>
      <c r="AN5" s="18"/>
      <c r="AO5" s="18"/>
      <c r="AP5" s="18"/>
      <c r="AQ5" s="18"/>
      <c r="AR5" s="18"/>
      <c r="AS5" s="19">
        <v>1</v>
      </c>
      <c r="AT5" s="19"/>
      <c r="AU5" s="19"/>
      <c r="AV5" s="19"/>
      <c r="AW5" s="21"/>
      <c r="AX5" s="22">
        <v>49</v>
      </c>
      <c r="AY5" s="15"/>
      <c r="AZ5" s="15"/>
      <c r="BA5" s="15"/>
      <c r="BB5" s="15"/>
      <c r="BC5" s="15"/>
      <c r="BD5" s="15"/>
      <c r="BE5" s="15"/>
      <c r="BF5" s="15"/>
      <c r="BG5" s="15"/>
      <c r="BH5" s="16"/>
    </row>
    <row r="6" spans="1:60" ht="15.75" customHeight="1" x14ac:dyDescent="0.35">
      <c r="A6" s="14">
        <v>2</v>
      </c>
      <c r="B6" s="15"/>
      <c r="C6" s="15"/>
      <c r="D6" s="15"/>
      <c r="E6" s="16"/>
      <c r="F6" s="17" t="s">
        <v>9</v>
      </c>
      <c r="G6" s="18"/>
      <c r="H6" s="18"/>
      <c r="I6" s="18"/>
      <c r="J6" s="18"/>
      <c r="K6" s="18"/>
      <c r="L6" s="19">
        <v>1</v>
      </c>
      <c r="M6" s="19"/>
      <c r="N6" s="19"/>
      <c r="O6" s="19"/>
      <c r="P6" s="19"/>
      <c r="Q6" s="20" t="s">
        <v>9</v>
      </c>
      <c r="R6" s="18"/>
      <c r="S6" s="18"/>
      <c r="T6" s="18"/>
      <c r="U6" s="18"/>
      <c r="V6" s="18"/>
      <c r="W6" s="19">
        <v>1</v>
      </c>
      <c r="X6" s="19"/>
      <c r="Y6" s="19"/>
      <c r="Z6" s="19"/>
      <c r="AA6" s="21"/>
      <c r="AB6" s="17" t="s">
        <v>10</v>
      </c>
      <c r="AC6" s="18"/>
      <c r="AD6" s="18"/>
      <c r="AE6" s="18"/>
      <c r="AF6" s="18"/>
      <c r="AG6" s="18"/>
      <c r="AH6" s="19">
        <v>1</v>
      </c>
      <c r="AI6" s="19"/>
      <c r="AJ6" s="19"/>
      <c r="AK6" s="19"/>
      <c r="AL6" s="21"/>
      <c r="AM6" s="17" t="s">
        <v>10</v>
      </c>
      <c r="AN6" s="18"/>
      <c r="AO6" s="18"/>
      <c r="AP6" s="18"/>
      <c r="AQ6" s="18"/>
      <c r="AR6" s="18"/>
      <c r="AS6" s="19">
        <v>1</v>
      </c>
      <c r="AT6" s="19"/>
      <c r="AU6" s="19"/>
      <c r="AV6" s="19"/>
      <c r="AW6" s="21"/>
      <c r="AX6" s="22">
        <v>71</v>
      </c>
      <c r="AY6" s="15"/>
      <c r="AZ6" s="15"/>
      <c r="BA6" s="15"/>
      <c r="BB6" s="15"/>
      <c r="BC6" s="15"/>
      <c r="BD6" s="15"/>
      <c r="BE6" s="15"/>
      <c r="BF6" s="15"/>
      <c r="BG6" s="15"/>
      <c r="BH6" s="16"/>
    </row>
    <row r="7" spans="1:60" ht="15.75" customHeight="1" x14ac:dyDescent="0.35">
      <c r="A7" s="14">
        <v>3</v>
      </c>
      <c r="B7" s="15"/>
      <c r="C7" s="15"/>
      <c r="D7" s="15"/>
      <c r="E7" s="16"/>
      <c r="F7" s="17" t="s">
        <v>9</v>
      </c>
      <c r="G7" s="18"/>
      <c r="H7" s="18"/>
      <c r="I7" s="18"/>
      <c r="J7" s="18"/>
      <c r="K7" s="18"/>
      <c r="L7" s="19">
        <v>1</v>
      </c>
      <c r="M7" s="19"/>
      <c r="N7" s="19"/>
      <c r="O7" s="19"/>
      <c r="P7" s="19"/>
      <c r="Q7" s="20" t="s">
        <v>10</v>
      </c>
      <c r="R7" s="18"/>
      <c r="S7" s="18"/>
      <c r="T7" s="18"/>
      <c r="U7" s="18"/>
      <c r="V7" s="18"/>
      <c r="W7" s="19">
        <v>1</v>
      </c>
      <c r="X7" s="19"/>
      <c r="Y7" s="19"/>
      <c r="Z7" s="19"/>
      <c r="AA7" s="21"/>
      <c r="AB7" s="17" t="s">
        <v>9</v>
      </c>
      <c r="AC7" s="18"/>
      <c r="AD7" s="18"/>
      <c r="AE7" s="18"/>
      <c r="AF7" s="18"/>
      <c r="AG7" s="18"/>
      <c r="AH7" s="19">
        <v>1</v>
      </c>
      <c r="AI7" s="19"/>
      <c r="AJ7" s="19"/>
      <c r="AK7" s="19"/>
      <c r="AL7" s="21"/>
      <c r="AM7" s="17" t="s">
        <v>10</v>
      </c>
      <c r="AN7" s="18"/>
      <c r="AO7" s="18"/>
      <c r="AP7" s="18"/>
      <c r="AQ7" s="18"/>
      <c r="AR7" s="18"/>
      <c r="AS7" s="19">
        <v>1</v>
      </c>
      <c r="AT7" s="19"/>
      <c r="AU7" s="19"/>
      <c r="AV7" s="19"/>
      <c r="AW7" s="21"/>
      <c r="AX7" s="22">
        <v>61</v>
      </c>
      <c r="AY7" s="15"/>
      <c r="AZ7" s="15"/>
      <c r="BA7" s="15"/>
      <c r="BB7" s="15"/>
      <c r="BC7" s="15"/>
      <c r="BD7" s="15"/>
      <c r="BE7" s="15"/>
      <c r="BF7" s="15"/>
      <c r="BG7" s="15"/>
      <c r="BH7" s="16"/>
    </row>
    <row r="8" spans="1:60" ht="15.75" customHeight="1" x14ac:dyDescent="0.35">
      <c r="A8" s="14">
        <v>4</v>
      </c>
      <c r="B8" s="15"/>
      <c r="C8" s="15"/>
      <c r="D8" s="15"/>
      <c r="E8" s="16"/>
      <c r="F8" s="17" t="s">
        <v>9</v>
      </c>
      <c r="G8" s="18"/>
      <c r="H8" s="18"/>
      <c r="I8" s="18"/>
      <c r="J8" s="18"/>
      <c r="K8" s="18"/>
      <c r="L8" s="19">
        <v>1</v>
      </c>
      <c r="M8" s="19"/>
      <c r="N8" s="19"/>
      <c r="O8" s="19"/>
      <c r="P8" s="19"/>
      <c r="Q8" s="20" t="s">
        <v>9</v>
      </c>
      <c r="R8" s="18"/>
      <c r="S8" s="18"/>
      <c r="T8" s="18"/>
      <c r="U8" s="18"/>
      <c r="V8" s="18"/>
      <c r="W8" s="19">
        <v>1</v>
      </c>
      <c r="X8" s="19"/>
      <c r="Y8" s="19"/>
      <c r="Z8" s="19"/>
      <c r="AA8" s="21"/>
      <c r="AB8" s="17" t="s">
        <v>9</v>
      </c>
      <c r="AC8" s="18"/>
      <c r="AD8" s="18"/>
      <c r="AE8" s="18"/>
      <c r="AF8" s="18"/>
      <c r="AG8" s="18"/>
      <c r="AH8" s="19">
        <v>1</v>
      </c>
      <c r="AI8" s="19"/>
      <c r="AJ8" s="19"/>
      <c r="AK8" s="19"/>
      <c r="AL8" s="21"/>
      <c r="AM8" s="17" t="s">
        <v>9</v>
      </c>
      <c r="AN8" s="18"/>
      <c r="AO8" s="18"/>
      <c r="AP8" s="18"/>
      <c r="AQ8" s="18"/>
      <c r="AR8" s="18"/>
      <c r="AS8" s="19">
        <v>1</v>
      </c>
      <c r="AT8" s="19"/>
      <c r="AU8" s="19"/>
      <c r="AV8" s="19"/>
      <c r="AW8" s="21"/>
      <c r="AX8" s="22">
        <v>24</v>
      </c>
      <c r="AY8" s="15"/>
      <c r="AZ8" s="15"/>
      <c r="BA8" s="15"/>
      <c r="BB8" s="15"/>
      <c r="BC8" s="15"/>
      <c r="BD8" s="15"/>
      <c r="BE8" s="15"/>
      <c r="BF8" s="15"/>
      <c r="BG8" s="15"/>
      <c r="BH8" s="16"/>
    </row>
    <row r="9" spans="1:60" ht="15" customHeight="1" x14ac:dyDescent="0.35">
      <c r="A9" s="3"/>
      <c r="B9" s="4"/>
      <c r="C9" s="4"/>
      <c r="D9" s="4"/>
      <c r="E9" s="4"/>
      <c r="F9" s="5"/>
      <c r="G9" s="6"/>
      <c r="H9" s="6"/>
      <c r="I9" s="6"/>
      <c r="J9" s="6"/>
      <c r="K9" s="6"/>
      <c r="L9" s="2"/>
      <c r="M9" s="2"/>
      <c r="N9" s="2"/>
      <c r="O9" s="2"/>
      <c r="P9" s="2"/>
      <c r="Q9" s="5"/>
      <c r="R9" s="6"/>
      <c r="S9" s="6"/>
      <c r="T9" s="6"/>
      <c r="U9" s="6"/>
      <c r="V9" s="6"/>
      <c r="W9" s="2"/>
      <c r="X9" s="2"/>
      <c r="Y9" s="2"/>
      <c r="Z9" s="2"/>
      <c r="AA9" s="2"/>
      <c r="AB9" s="5"/>
      <c r="AC9" s="6"/>
      <c r="AD9" s="6"/>
      <c r="AE9" s="6"/>
      <c r="AF9" s="6"/>
      <c r="AG9" s="6"/>
      <c r="AH9" s="2"/>
      <c r="AI9" s="2"/>
      <c r="AJ9" s="2"/>
      <c r="AK9" s="2"/>
      <c r="AL9" s="2"/>
      <c r="AM9" s="5"/>
      <c r="AN9" s="6"/>
      <c r="AO9" s="6"/>
      <c r="AP9" s="6"/>
      <c r="AQ9" s="6"/>
      <c r="AR9" s="6"/>
      <c r="AS9" s="2"/>
      <c r="AT9" s="2"/>
      <c r="AU9" s="2"/>
      <c r="AV9" s="2"/>
      <c r="AW9" s="2"/>
      <c r="AX9" s="3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0" ht="15" customHeight="1" x14ac:dyDescent="0.35">
      <c r="A10" s="24" t="s">
        <v>11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 spans="1:60" ht="15" customHeight="1" x14ac:dyDescent="0.35">
      <c r="A11" s="3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 spans="1:60" ht="15" customHeight="1" x14ac:dyDescent="0.35">
      <c r="A12" s="3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0" ht="15" customHeight="1" x14ac:dyDescent="0.35">
      <c r="A13" s="3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ht="15" customHeight="1" x14ac:dyDescent="0.35">
      <c r="A14" s="26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6" t="s">
        <v>13</v>
      </c>
      <c r="L14" s="27"/>
      <c r="M14" s="27"/>
      <c r="N14" s="27"/>
      <c r="O14" s="27"/>
      <c r="P14" s="27"/>
      <c r="Q14" s="27"/>
      <c r="R14" s="27"/>
      <c r="S14" s="27"/>
      <c r="T14" s="27"/>
      <c r="U14" s="26" t="s">
        <v>14</v>
      </c>
      <c r="V14" s="27"/>
      <c r="W14" s="27"/>
      <c r="X14" s="27"/>
      <c r="Y14" s="27"/>
      <c r="Z14" s="27"/>
      <c r="AA14" s="27"/>
      <c r="AB14" s="27"/>
      <c r="AC14" s="27"/>
      <c r="AD14" s="27"/>
      <c r="AE14" s="26" t="s">
        <v>15</v>
      </c>
      <c r="AF14" s="27"/>
      <c r="AG14" s="27"/>
      <c r="AH14" s="27"/>
      <c r="AI14" s="27"/>
      <c r="AJ14" s="27"/>
      <c r="AK14" s="27"/>
      <c r="AL14" s="27"/>
      <c r="AM14" s="27"/>
      <c r="AN14" s="27"/>
      <c r="AP14" s="2"/>
      <c r="AQ14" s="2"/>
      <c r="AR14" s="2"/>
      <c r="AS14" s="2"/>
      <c r="AT14" s="2"/>
      <c r="AU14" s="2"/>
      <c r="AV14" s="2"/>
      <c r="AW14" s="2"/>
      <c r="AX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ht="12" customHeight="1" x14ac:dyDescent="0.3">
      <c r="A15" s="31">
        <f>(AX5+AX6+AX7+AX8)/4</f>
        <v>51.25</v>
      </c>
      <c r="B15" s="32"/>
      <c r="C15" s="32"/>
      <c r="D15" s="32"/>
      <c r="E15" s="32"/>
      <c r="F15" s="32"/>
      <c r="G15" s="32"/>
      <c r="H15" s="32"/>
      <c r="I15" s="32"/>
      <c r="J15" s="33"/>
      <c r="K15" s="31">
        <f>((-W5)*AX5+W6*AX6+(-W7)*AX7+W8*AX8)/4</f>
        <v>-3.75</v>
      </c>
      <c r="L15" s="32"/>
      <c r="M15" s="32"/>
      <c r="N15" s="32"/>
      <c r="O15" s="32"/>
      <c r="P15" s="32"/>
      <c r="Q15" s="32"/>
      <c r="R15" s="32"/>
      <c r="S15" s="32"/>
      <c r="T15" s="33"/>
      <c r="U15" s="31">
        <f>((-AH5)*AX5+(-AH6)*AX6+AH7*AX7+AH8*AX8)/4</f>
        <v>-8.75</v>
      </c>
      <c r="V15" s="32"/>
      <c r="W15" s="32"/>
      <c r="X15" s="32"/>
      <c r="Y15" s="32"/>
      <c r="Z15" s="32"/>
      <c r="AA15" s="32"/>
      <c r="AB15" s="32"/>
      <c r="AC15" s="32"/>
      <c r="AD15" s="33"/>
      <c r="AE15" s="31">
        <f>(AS5*AX5+(-AS6)*AX6+(-AS7)*AX7+AS8*AX8)/4</f>
        <v>-14.75</v>
      </c>
      <c r="AF15" s="32"/>
      <c r="AG15" s="32"/>
      <c r="AH15" s="32"/>
      <c r="AI15" s="32"/>
      <c r="AJ15" s="32"/>
      <c r="AK15" s="32"/>
      <c r="AL15" s="32"/>
      <c r="AM15" s="32"/>
      <c r="AN15" s="33"/>
    </row>
    <row r="16" spans="1:60" ht="12" customHeight="1" x14ac:dyDescent="0.3">
      <c r="A16" s="34"/>
      <c r="B16" s="35"/>
      <c r="C16" s="35"/>
      <c r="D16" s="35"/>
      <c r="E16" s="35"/>
      <c r="F16" s="35"/>
      <c r="G16" s="35"/>
      <c r="H16" s="35"/>
      <c r="I16" s="35"/>
      <c r="J16" s="36"/>
      <c r="K16" s="34"/>
      <c r="L16" s="35"/>
      <c r="M16" s="35"/>
      <c r="N16" s="35"/>
      <c r="O16" s="35"/>
      <c r="P16" s="35"/>
      <c r="Q16" s="35"/>
      <c r="R16" s="35"/>
      <c r="S16" s="35"/>
      <c r="T16" s="36"/>
      <c r="U16" s="34"/>
      <c r="V16" s="35"/>
      <c r="W16" s="35"/>
      <c r="X16" s="35"/>
      <c r="Y16" s="35"/>
      <c r="Z16" s="35"/>
      <c r="AA16" s="35"/>
      <c r="AB16" s="35"/>
      <c r="AC16" s="35"/>
      <c r="AD16" s="36"/>
      <c r="AE16" s="34"/>
      <c r="AF16" s="35"/>
      <c r="AG16" s="35"/>
      <c r="AH16" s="35"/>
      <c r="AI16" s="35"/>
      <c r="AJ16" s="35"/>
      <c r="AK16" s="35"/>
      <c r="AL16" s="35"/>
      <c r="AM16" s="35"/>
      <c r="AN16" s="36"/>
    </row>
    <row r="17" spans="1:60" ht="11.25" customHeight="1" x14ac:dyDescent="0.3">
      <c r="A17" s="34"/>
      <c r="B17" s="35"/>
      <c r="C17" s="35"/>
      <c r="D17" s="35"/>
      <c r="E17" s="35"/>
      <c r="F17" s="35"/>
      <c r="G17" s="35"/>
      <c r="H17" s="35"/>
      <c r="I17" s="35"/>
      <c r="J17" s="36"/>
      <c r="K17" s="34"/>
      <c r="L17" s="35"/>
      <c r="M17" s="35"/>
      <c r="N17" s="35"/>
      <c r="O17" s="35"/>
      <c r="P17" s="35"/>
      <c r="Q17" s="35"/>
      <c r="R17" s="35"/>
      <c r="S17" s="35"/>
      <c r="T17" s="36"/>
      <c r="U17" s="34"/>
      <c r="V17" s="35"/>
      <c r="W17" s="35"/>
      <c r="X17" s="35"/>
      <c r="Y17" s="35"/>
      <c r="Z17" s="35"/>
      <c r="AA17" s="35"/>
      <c r="AB17" s="35"/>
      <c r="AC17" s="35"/>
      <c r="AD17" s="36"/>
      <c r="AE17" s="34"/>
      <c r="AF17" s="35"/>
      <c r="AG17" s="35"/>
      <c r="AH17" s="35"/>
      <c r="AI17" s="35"/>
      <c r="AJ17" s="35"/>
      <c r="AK17" s="35"/>
      <c r="AL17" s="35"/>
      <c r="AM17" s="35"/>
      <c r="AN17" s="36"/>
    </row>
    <row r="18" spans="1:60" ht="9" customHeight="1" x14ac:dyDescent="0.3">
      <c r="A18" s="37"/>
      <c r="B18" s="38"/>
      <c r="C18" s="38"/>
      <c r="D18" s="38"/>
      <c r="E18" s="38"/>
      <c r="F18" s="38"/>
      <c r="G18" s="38"/>
      <c r="H18" s="38"/>
      <c r="I18" s="38"/>
      <c r="J18" s="39"/>
      <c r="K18" s="37"/>
      <c r="L18" s="38"/>
      <c r="M18" s="38"/>
      <c r="N18" s="38"/>
      <c r="O18" s="38"/>
      <c r="P18" s="38"/>
      <c r="Q18" s="38"/>
      <c r="R18" s="38"/>
      <c r="S18" s="38"/>
      <c r="T18" s="39"/>
      <c r="U18" s="37"/>
      <c r="V18" s="38"/>
      <c r="W18" s="38"/>
      <c r="X18" s="38"/>
      <c r="Y18" s="38"/>
      <c r="Z18" s="38"/>
      <c r="AA18" s="38"/>
      <c r="AB18" s="38"/>
      <c r="AC18" s="38"/>
      <c r="AD18" s="39"/>
      <c r="AE18" s="37"/>
      <c r="AF18" s="38"/>
      <c r="AG18" s="38"/>
      <c r="AH18" s="38"/>
      <c r="AI18" s="38"/>
      <c r="AJ18" s="38"/>
      <c r="AK18" s="38"/>
      <c r="AL18" s="38"/>
      <c r="AM18" s="38"/>
      <c r="AN18" s="39"/>
    </row>
    <row r="19" spans="1:60" ht="30" customHeight="1" x14ac:dyDescent="0.3"/>
    <row r="20" spans="1:60" ht="21" customHeight="1" x14ac:dyDescent="0.3"/>
    <row r="21" spans="1:60" ht="6.75" customHeight="1" x14ac:dyDescent="0.3"/>
    <row r="22" spans="1:60" ht="16.5" customHeight="1" x14ac:dyDescent="0.3"/>
    <row r="23" spans="1:60" ht="16.5" customHeight="1" x14ac:dyDescent="0.3"/>
    <row r="24" spans="1:60" ht="16.5" customHeight="1" x14ac:dyDescent="0.3"/>
    <row r="25" spans="1:60" ht="16.5" customHeight="1" x14ac:dyDescent="0.3"/>
    <row r="26" spans="1:60" ht="35.25" customHeight="1" x14ac:dyDescent="0.3"/>
    <row r="27" spans="1:60" ht="14.5" x14ac:dyDescent="0.35">
      <c r="A27" s="24" t="s">
        <v>16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</row>
    <row r="28" spans="1:60" ht="33" customHeight="1" x14ac:dyDescent="0.3"/>
    <row r="30" spans="1:60" ht="14.5" x14ac:dyDescent="0.35">
      <c r="A30" s="24" t="s">
        <v>17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</row>
    <row r="31" spans="1:60" ht="14.5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ht="33" customHeight="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ht="83.25" customHeight="1" x14ac:dyDescent="0.3">
      <c r="A33" s="28" t="s">
        <v>18</v>
      </c>
      <c r="B33" s="28"/>
      <c r="C33" s="28"/>
      <c r="D33" s="28"/>
      <c r="E33" s="28" t="s">
        <v>19</v>
      </c>
      <c r="F33" s="28"/>
      <c r="G33" s="28"/>
      <c r="H33" s="28"/>
      <c r="I33" s="28"/>
      <c r="J33" s="28"/>
      <c r="K33" s="28"/>
      <c r="L33" s="28" t="s">
        <v>20</v>
      </c>
      <c r="M33" s="28"/>
      <c r="N33" s="28"/>
      <c r="O33" s="28"/>
      <c r="P33" s="28"/>
      <c r="Q33" s="28"/>
      <c r="R33" s="28"/>
      <c r="S33" s="28" t="s">
        <v>21</v>
      </c>
      <c r="T33" s="28"/>
      <c r="U33" s="28"/>
      <c r="V33" s="28"/>
      <c r="W33" s="28"/>
      <c r="X33" s="28"/>
      <c r="Y33" s="28"/>
      <c r="Z33" s="28" t="s">
        <v>22</v>
      </c>
      <c r="AA33" s="28"/>
      <c r="AB33" s="28"/>
      <c r="AC33" s="28"/>
      <c r="AD33" s="28"/>
      <c r="AE33" s="28"/>
      <c r="AF33" s="28"/>
      <c r="AG33" s="28" t="s">
        <v>23</v>
      </c>
      <c r="AH33" s="28"/>
      <c r="AI33" s="28"/>
      <c r="AJ33" s="28"/>
      <c r="AK33" s="28"/>
      <c r="AL33" s="28"/>
      <c r="AM33" s="28"/>
      <c r="AN33" s="28" t="s">
        <v>24</v>
      </c>
      <c r="AO33" s="28"/>
      <c r="AP33" s="28"/>
      <c r="AQ33" s="28"/>
      <c r="AR33" s="28"/>
      <c r="AS33" s="28"/>
      <c r="AT33" s="28"/>
      <c r="AU33" s="28" t="s">
        <v>25</v>
      </c>
      <c r="AV33" s="28"/>
      <c r="AW33" s="28"/>
      <c r="AX33" s="28"/>
      <c r="AY33" s="28"/>
      <c r="AZ33" s="28"/>
      <c r="BA33" s="28"/>
      <c r="BB33" s="28" t="s">
        <v>26</v>
      </c>
      <c r="BC33" s="28"/>
      <c r="BD33" s="28"/>
      <c r="BE33" s="28"/>
      <c r="BF33" s="28"/>
      <c r="BG33" s="28"/>
      <c r="BH33" s="28"/>
    </row>
    <row r="34" spans="1:60" x14ac:dyDescent="0.3">
      <c r="A34" s="29" t="s">
        <v>12</v>
      </c>
      <c r="B34" s="29"/>
      <c r="C34" s="29"/>
      <c r="D34" s="29"/>
      <c r="E34" s="29">
        <f>A15</f>
        <v>51.25</v>
      </c>
      <c r="F34" s="29"/>
      <c r="G34" s="29"/>
      <c r="H34" s="29"/>
      <c r="I34" s="29"/>
      <c r="J34" s="29"/>
      <c r="K34" s="29"/>
      <c r="L34" s="40">
        <f>(E34+E35+E36+E37)/4</f>
        <v>6</v>
      </c>
      <c r="M34" s="41"/>
      <c r="N34" s="41"/>
      <c r="O34" s="41"/>
      <c r="P34" s="41"/>
      <c r="Q34" s="41"/>
      <c r="R34" s="42"/>
      <c r="S34" s="31">
        <f>L34/12</f>
        <v>0.5</v>
      </c>
      <c r="T34" s="32"/>
      <c r="U34" s="32"/>
      <c r="V34" s="32"/>
      <c r="W34" s="32"/>
      <c r="X34" s="32"/>
      <c r="Y34" s="33"/>
      <c r="Z34" s="31">
        <f>SQRT(S34)</f>
        <v>0.70710678118654757</v>
      </c>
      <c r="AA34" s="32"/>
      <c r="AB34" s="32"/>
      <c r="AC34" s="32"/>
      <c r="AD34" s="32"/>
      <c r="AE34" s="32"/>
      <c r="AF34" s="33"/>
      <c r="AG34" s="29">
        <f>ABS(E34)/$Z$34</f>
        <v>72.47844507162111</v>
      </c>
      <c r="AH34" s="29"/>
      <c r="AI34" s="29"/>
      <c r="AJ34" s="29"/>
      <c r="AK34" s="29"/>
      <c r="AL34" s="29"/>
      <c r="AM34" s="29"/>
      <c r="AN34" s="31">
        <v>2.4</v>
      </c>
      <c r="AO34" s="32"/>
      <c r="AP34" s="32"/>
      <c r="AQ34" s="32"/>
      <c r="AR34" s="32"/>
      <c r="AS34" s="32"/>
      <c r="AT34" s="33"/>
      <c r="AU34" s="29" t="s">
        <v>27</v>
      </c>
      <c r="AV34" s="29"/>
      <c r="AW34" s="29"/>
      <c r="AX34" s="29"/>
      <c r="AY34" s="29"/>
      <c r="AZ34" s="29"/>
      <c r="BA34" s="29"/>
      <c r="BB34" s="29" t="s">
        <v>28</v>
      </c>
      <c r="BC34" s="29"/>
      <c r="BD34" s="29"/>
      <c r="BE34" s="29"/>
      <c r="BF34" s="29"/>
      <c r="BG34" s="29"/>
      <c r="BH34" s="29"/>
    </row>
    <row r="35" spans="1:60" x14ac:dyDescent="0.3">
      <c r="A35" s="29" t="s">
        <v>13</v>
      </c>
      <c r="B35" s="29"/>
      <c r="C35" s="29"/>
      <c r="D35" s="29"/>
      <c r="E35" s="29">
        <v>-3.75</v>
      </c>
      <c r="F35" s="29"/>
      <c r="G35" s="29"/>
      <c r="H35" s="29"/>
      <c r="I35" s="29"/>
      <c r="J35" s="29"/>
      <c r="K35" s="29"/>
      <c r="L35" s="43"/>
      <c r="M35" s="44"/>
      <c r="N35" s="44"/>
      <c r="O35" s="44"/>
      <c r="P35" s="44"/>
      <c r="Q35" s="44"/>
      <c r="R35" s="45"/>
      <c r="S35" s="34"/>
      <c r="T35" s="35"/>
      <c r="U35" s="35"/>
      <c r="V35" s="35"/>
      <c r="W35" s="35"/>
      <c r="X35" s="35"/>
      <c r="Y35" s="36"/>
      <c r="Z35" s="34"/>
      <c r="AA35" s="35"/>
      <c r="AB35" s="35"/>
      <c r="AC35" s="35"/>
      <c r="AD35" s="35"/>
      <c r="AE35" s="35"/>
      <c r="AF35" s="36"/>
      <c r="AG35" s="29">
        <f>ABS(E35)/$Z$34</f>
        <v>5.3033008588991057</v>
      </c>
      <c r="AH35" s="29"/>
      <c r="AI35" s="29"/>
      <c r="AJ35" s="29"/>
      <c r="AK35" s="29"/>
      <c r="AL35" s="29"/>
      <c r="AM35" s="29"/>
      <c r="AN35" s="49"/>
      <c r="AO35" s="50"/>
      <c r="AP35" s="50"/>
      <c r="AQ35" s="50"/>
      <c r="AR35" s="50"/>
      <c r="AS35" s="50"/>
      <c r="AT35" s="51"/>
      <c r="AU35" s="29" t="s">
        <v>27</v>
      </c>
      <c r="AV35" s="29"/>
      <c r="AW35" s="29"/>
      <c r="AX35" s="29"/>
      <c r="AY35" s="29"/>
      <c r="AZ35" s="29"/>
      <c r="BA35" s="29"/>
      <c r="BB35" s="29" t="s">
        <v>29</v>
      </c>
      <c r="BC35" s="29"/>
      <c r="BD35" s="29"/>
      <c r="BE35" s="29"/>
      <c r="BF35" s="29"/>
      <c r="BG35" s="29"/>
      <c r="BH35" s="29"/>
    </row>
    <row r="36" spans="1:60" x14ac:dyDescent="0.3">
      <c r="A36" s="29" t="s">
        <v>14</v>
      </c>
      <c r="B36" s="29"/>
      <c r="C36" s="29"/>
      <c r="D36" s="29"/>
      <c r="E36" s="29">
        <f>U15</f>
        <v>-8.75</v>
      </c>
      <c r="F36" s="29"/>
      <c r="G36" s="29"/>
      <c r="H36" s="29"/>
      <c r="I36" s="29"/>
      <c r="J36" s="29"/>
      <c r="K36" s="29"/>
      <c r="L36" s="43"/>
      <c r="M36" s="44"/>
      <c r="N36" s="44"/>
      <c r="O36" s="44"/>
      <c r="P36" s="44"/>
      <c r="Q36" s="44"/>
      <c r="R36" s="45"/>
      <c r="S36" s="34"/>
      <c r="T36" s="35"/>
      <c r="U36" s="35"/>
      <c r="V36" s="35"/>
      <c r="W36" s="35"/>
      <c r="X36" s="35"/>
      <c r="Y36" s="36"/>
      <c r="Z36" s="34"/>
      <c r="AA36" s="35"/>
      <c r="AB36" s="35"/>
      <c r="AC36" s="35"/>
      <c r="AD36" s="35"/>
      <c r="AE36" s="35"/>
      <c r="AF36" s="36"/>
      <c r="AG36" s="29">
        <f>ABS(E36)/$Z$34</f>
        <v>12.37436867076458</v>
      </c>
      <c r="AH36" s="29"/>
      <c r="AI36" s="29"/>
      <c r="AJ36" s="29"/>
      <c r="AK36" s="29"/>
      <c r="AL36" s="29"/>
      <c r="AM36" s="29"/>
      <c r="AN36" s="49"/>
      <c r="AO36" s="50"/>
      <c r="AP36" s="50"/>
      <c r="AQ36" s="50"/>
      <c r="AR36" s="50"/>
      <c r="AS36" s="50"/>
      <c r="AT36" s="51"/>
      <c r="AU36" s="29" t="s">
        <v>27</v>
      </c>
      <c r="AV36" s="29"/>
      <c r="AW36" s="29"/>
      <c r="AX36" s="29"/>
      <c r="AY36" s="29"/>
      <c r="AZ36" s="29"/>
      <c r="BA36" s="29"/>
      <c r="BB36" s="29" t="s">
        <v>30</v>
      </c>
      <c r="BC36" s="29"/>
      <c r="BD36" s="29"/>
      <c r="BE36" s="29"/>
      <c r="BF36" s="29"/>
      <c r="BG36" s="29"/>
      <c r="BH36" s="29"/>
    </row>
    <row r="37" spans="1:60" x14ac:dyDescent="0.3">
      <c r="A37" s="29" t="s">
        <v>15</v>
      </c>
      <c r="B37" s="29"/>
      <c r="C37" s="29"/>
      <c r="D37" s="29"/>
      <c r="E37" s="29">
        <f>AE15</f>
        <v>-14.75</v>
      </c>
      <c r="F37" s="29"/>
      <c r="G37" s="29"/>
      <c r="H37" s="29"/>
      <c r="I37" s="29"/>
      <c r="J37" s="29"/>
      <c r="K37" s="29"/>
      <c r="L37" s="46"/>
      <c r="M37" s="47"/>
      <c r="N37" s="47"/>
      <c r="O37" s="47"/>
      <c r="P37" s="47"/>
      <c r="Q37" s="47"/>
      <c r="R37" s="48"/>
      <c r="S37" s="37"/>
      <c r="T37" s="38"/>
      <c r="U37" s="38"/>
      <c r="V37" s="38"/>
      <c r="W37" s="38"/>
      <c r="X37" s="38"/>
      <c r="Y37" s="39"/>
      <c r="Z37" s="37"/>
      <c r="AA37" s="38"/>
      <c r="AB37" s="38"/>
      <c r="AC37" s="38"/>
      <c r="AD37" s="38"/>
      <c r="AE37" s="38"/>
      <c r="AF37" s="39"/>
      <c r="AG37" s="29">
        <f>ABS(E37)/$Z$34</f>
        <v>20.85965004500315</v>
      </c>
      <c r="AH37" s="29"/>
      <c r="AI37" s="29"/>
      <c r="AJ37" s="29"/>
      <c r="AK37" s="29"/>
      <c r="AL37" s="29"/>
      <c r="AM37" s="29"/>
      <c r="AN37" s="52"/>
      <c r="AO37" s="53"/>
      <c r="AP37" s="53"/>
      <c r="AQ37" s="53"/>
      <c r="AR37" s="53"/>
      <c r="AS37" s="53"/>
      <c r="AT37" s="54"/>
      <c r="AU37" s="29" t="s">
        <v>27</v>
      </c>
      <c r="AV37" s="29"/>
      <c r="AW37" s="29"/>
      <c r="AX37" s="29"/>
      <c r="AY37" s="29"/>
      <c r="AZ37" s="29"/>
      <c r="BA37" s="29"/>
      <c r="BB37" s="29" t="s">
        <v>31</v>
      </c>
      <c r="BC37" s="29"/>
      <c r="BD37" s="29"/>
      <c r="BE37" s="29"/>
      <c r="BF37" s="29"/>
      <c r="BG37" s="29"/>
      <c r="BH37" s="29"/>
    </row>
    <row r="38" spans="1:60" ht="119.25" customHeight="1" x14ac:dyDescent="0.3">
      <c r="A38" s="30" t="s">
        <v>32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</row>
    <row r="39" spans="1:60" ht="134.25" customHeight="1" x14ac:dyDescent="0.3">
      <c r="A39" s="10" t="s">
        <v>33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ht="78.75" customHeight="1" x14ac:dyDescent="0.3">
      <c r="A40" s="10" t="s">
        <v>34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</sheetData>
  <mergeCells count="96">
    <mergeCell ref="A38:BH38"/>
    <mergeCell ref="A39:BH39"/>
    <mergeCell ref="A40:BH40"/>
    <mergeCell ref="AE15:AN18"/>
    <mergeCell ref="U15:AD18"/>
    <mergeCell ref="K15:T18"/>
    <mergeCell ref="A15:J18"/>
    <mergeCell ref="A34:D34"/>
    <mergeCell ref="E34:K34"/>
    <mergeCell ref="L34:R37"/>
    <mergeCell ref="S34:Y37"/>
    <mergeCell ref="Z34:AF37"/>
    <mergeCell ref="AG34:AM34"/>
    <mergeCell ref="AN34:AT37"/>
    <mergeCell ref="AU34:BA34"/>
    <mergeCell ref="BB34:BH34"/>
    <mergeCell ref="A35:D35"/>
    <mergeCell ref="E35:K35"/>
    <mergeCell ref="AG35:AM35"/>
    <mergeCell ref="AU35:BA35"/>
    <mergeCell ref="BB35:BH35"/>
    <mergeCell ref="A36:D36"/>
    <mergeCell ref="E36:K36"/>
    <mergeCell ref="AG36:AM36"/>
    <mergeCell ref="AU36:BA36"/>
    <mergeCell ref="BB36:BH36"/>
    <mergeCell ref="A37:D37"/>
    <mergeCell ref="E37:K37"/>
    <mergeCell ref="AG37:AM37"/>
    <mergeCell ref="AU37:BA37"/>
    <mergeCell ref="BB37:BH37"/>
    <mergeCell ref="A27:BH27"/>
    <mergeCell ref="A30:BH30"/>
    <mergeCell ref="A33:D33"/>
    <mergeCell ref="E33:K33"/>
    <mergeCell ref="L33:R33"/>
    <mergeCell ref="S33:Y33"/>
    <mergeCell ref="Z33:AF33"/>
    <mergeCell ref="AG33:AM33"/>
    <mergeCell ref="AN33:AT33"/>
    <mergeCell ref="AU33:BA33"/>
    <mergeCell ref="BB33:BH33"/>
    <mergeCell ref="AX8:BH8"/>
    <mergeCell ref="A10:BH10"/>
    <mergeCell ref="A14:J14"/>
    <mergeCell ref="K14:T14"/>
    <mergeCell ref="U14:AD14"/>
    <mergeCell ref="AE14:AN14"/>
    <mergeCell ref="A8:E8"/>
    <mergeCell ref="F8:K8"/>
    <mergeCell ref="L8:P8"/>
    <mergeCell ref="Q8:V8"/>
    <mergeCell ref="W8:AA8"/>
    <mergeCell ref="AB8:AG8"/>
    <mergeCell ref="AH8:AL8"/>
    <mergeCell ref="AM8:AR8"/>
    <mergeCell ref="AS8:AW8"/>
    <mergeCell ref="AX6:BH6"/>
    <mergeCell ref="A7:E7"/>
    <mergeCell ref="F7:K7"/>
    <mergeCell ref="L7:P7"/>
    <mergeCell ref="Q7:V7"/>
    <mergeCell ref="W7:AA7"/>
    <mergeCell ref="AB7:AG7"/>
    <mergeCell ref="AH7:AL7"/>
    <mergeCell ref="AM7:AR7"/>
    <mergeCell ref="AS7:AW7"/>
    <mergeCell ref="AX7:BH7"/>
    <mergeCell ref="A6:E6"/>
    <mergeCell ref="F6:K6"/>
    <mergeCell ref="L6:P6"/>
    <mergeCell ref="Q6:V6"/>
    <mergeCell ref="W6:AA6"/>
    <mergeCell ref="AB6:AG6"/>
    <mergeCell ref="AH6:AL6"/>
    <mergeCell ref="AM6:AR6"/>
    <mergeCell ref="AS6:AW6"/>
    <mergeCell ref="A4:E4"/>
    <mergeCell ref="F4:P4"/>
    <mergeCell ref="Q4:AA4"/>
    <mergeCell ref="AB4:AL4"/>
    <mergeCell ref="AM4:AW4"/>
    <mergeCell ref="A1:BH1"/>
    <mergeCell ref="A2:BH2"/>
    <mergeCell ref="A3:BH3"/>
    <mergeCell ref="AX4:BH4"/>
    <mergeCell ref="A5:E5"/>
    <mergeCell ref="F5:K5"/>
    <mergeCell ref="L5:P5"/>
    <mergeCell ref="Q5:V5"/>
    <mergeCell ref="W5:AA5"/>
    <mergeCell ref="AB5:AG5"/>
    <mergeCell ref="AH5:AL5"/>
    <mergeCell ref="AM5:AR5"/>
    <mergeCell ref="AS5:AW5"/>
    <mergeCell ref="AX5:BH5"/>
  </mergeCells>
  <pageMargins left="1.1811023622047245" right="0.39370078740157483" top="0.78740157480314965" bottom="0.78740157480314965" header="0.31496062992125984" footer="0.31496062992125984"/>
  <pageSetup paperSize="9" orientation="portrait" horizontalDpi="180" verticalDpi="180" r:id="rId1"/>
  <headerFooter>
    <oddHeader xml:space="preserve">&amp;R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2025-10-18T15:04:38Z</dcterms:modified>
</cp:coreProperties>
</file>