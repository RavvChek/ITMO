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DDBFCA7-712E-4890-81F8-03C0CAAD4399}" xr6:coauthVersionLast="47" xr6:coauthVersionMax="47" xr10:uidLastSave="{00000000-0000-0000-0000-000000000000}"/>
  <bookViews>
    <workbookView xWindow="0" yWindow="360" windowWidth="21820" windowHeight="1390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6" i="1" l="1"/>
  <c r="AK36" i="1"/>
  <c r="AW36" i="1"/>
  <c r="AO31" i="1"/>
  <c r="AY31" i="1" s="1"/>
  <c r="AY24" i="1"/>
  <c r="AE24" i="1"/>
  <c r="U24" i="1"/>
  <c r="AO24" i="1" s="1"/>
  <c r="N24" i="1"/>
  <c r="AO17" i="1"/>
  <c r="V10" i="1"/>
  <c r="AU3" i="1"/>
  <c r="AN3" i="1"/>
  <c r="S3" i="1"/>
  <c r="Z3" i="1" s="1"/>
  <c r="L3" i="1"/>
  <c r="S4" i="1" s="1"/>
  <c r="Z4" i="1" s="1"/>
  <c r="S7" i="1" l="1"/>
  <c r="Z7" i="1" s="1"/>
  <c r="S6" i="1"/>
  <c r="Z6" i="1" s="1"/>
  <c r="S5" i="1"/>
  <c r="Z5" i="1" s="1"/>
  <c r="AG3" i="1" s="1"/>
  <c r="A10" i="1" l="1"/>
  <c r="H10" i="1"/>
  <c r="O10" i="1" s="1"/>
  <c r="AC10" i="1" s="1"/>
  <c r="AJ10" i="1" s="1"/>
  <c r="BB3" i="1"/>
</calcChain>
</file>

<file path=xl/sharedStrings.xml><?xml version="1.0" encoding="utf-8"?>
<sst xmlns="http://schemas.openxmlformats.org/spreadsheetml/2006/main" count="31" uniqueCount="27">
  <si>
    <t>Период колебаний пружинного маятника, с</t>
  </si>
  <si>
    <t>Период колебаний пружин-ного маятника, с</t>
  </si>
  <si>
    <t>Sx</t>
  </si>
  <si>
    <t>Tmax</t>
  </si>
  <si>
    <t>Tmin</t>
  </si>
  <si>
    <t>G1</t>
  </si>
  <si>
    <t>Sx-</t>
  </si>
  <si>
    <t>E</t>
  </si>
  <si>
    <t>Q</t>
  </si>
  <si>
    <t>X</t>
  </si>
  <si>
    <t>№ n/n измерения</t>
  </si>
  <si>
    <t>Среднее арифметическое значение периода колебаний пружинного маятника, с</t>
  </si>
  <si>
    <t>Максимальное значение периода колебаний пружинного маятника, с</t>
  </si>
  <si>
    <t>Минимальное значение периода колебаний пружинного маятника, с</t>
  </si>
  <si>
    <t>Критерий Граббса, G1</t>
  </si>
  <si>
    <t>Критерий Граббса, G2</t>
  </si>
  <si>
    <t>Доверительная вероятность, P</t>
  </si>
  <si>
    <t xml:space="preserve">N-1 </t>
  </si>
  <si>
    <t>Коэффициент Стьюдента, t</t>
  </si>
  <si>
    <r>
      <t>Среднее квадратическое отклонени, S</t>
    </r>
    <r>
      <rPr>
        <vertAlign val="subscript"/>
        <sz val="11"/>
        <color theme="1"/>
        <rFont val="Times New Roman"/>
        <family val="1"/>
        <charset val="204"/>
      </rPr>
      <t>x</t>
    </r>
  </si>
  <si>
    <t>Среднее квадратическое отклонение среднего арифметического</t>
  </si>
  <si>
    <t>Доверительная граница</t>
  </si>
  <si>
    <t>Доверительная граница случайной погрешности, ε</t>
  </si>
  <si>
    <t>Приборная систематическая погрешность, θ</t>
  </si>
  <si>
    <t xml:space="preserve">Абсолютная погрешность прямого измерения, </t>
  </si>
  <si>
    <t xml:space="preserve">Среднее арифметическое значение периода колебаний пружинного маятника, с </t>
  </si>
  <si>
    <t>Относительная погрешность прямого измерения,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</si>
</sst>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1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5" fontId="0" fillId="0" borderId="0" xfId="0" applyNumberForma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H36"/>
  <sheetViews>
    <sheetView tabSelected="1" view="pageLayout" topLeftCell="A30" zoomScaleNormal="100" workbookViewId="0">
      <selection activeCell="AH40" sqref="AH40"/>
    </sheetView>
  </sheetViews>
  <sheetFormatPr defaultColWidth="9.1796875" defaultRowHeight="14" x14ac:dyDescent="0.3"/>
  <cols>
    <col min="1" max="60" width="1.26953125" style="1" customWidth="1"/>
    <col min="61" max="16384" width="9.1796875" style="1"/>
  </cols>
  <sheetData>
    <row r="2" spans="1:60" ht="68.25" customHeight="1" x14ac:dyDescent="0.3">
      <c r="A2" s="26"/>
      <c r="B2" s="27"/>
      <c r="C2" s="27"/>
      <c r="D2" s="27"/>
      <c r="E2" s="26" t="s">
        <v>1</v>
      </c>
      <c r="F2" s="27"/>
      <c r="G2" s="27"/>
      <c r="H2" s="27"/>
      <c r="I2" s="27"/>
      <c r="J2" s="27"/>
      <c r="K2" s="27"/>
      <c r="L2" s="26"/>
      <c r="M2" s="27"/>
      <c r="N2" s="27"/>
      <c r="O2" s="27"/>
      <c r="P2" s="27"/>
      <c r="Q2" s="27"/>
      <c r="R2" s="27"/>
      <c r="S2" s="26"/>
      <c r="T2" s="27"/>
      <c r="U2" s="27"/>
      <c r="V2" s="27"/>
      <c r="W2" s="27"/>
      <c r="X2" s="27"/>
      <c r="Y2" s="27"/>
      <c r="Z2" s="26"/>
      <c r="AA2" s="27"/>
      <c r="AB2" s="27"/>
      <c r="AC2" s="27"/>
      <c r="AD2" s="27"/>
      <c r="AE2" s="27"/>
      <c r="AF2" s="27"/>
      <c r="AG2" s="26" t="s">
        <v>2</v>
      </c>
      <c r="AH2" s="27"/>
      <c r="AI2" s="27"/>
      <c r="AJ2" s="27"/>
      <c r="AK2" s="27"/>
      <c r="AL2" s="27"/>
      <c r="AM2" s="27"/>
      <c r="AN2" s="26" t="s">
        <v>3</v>
      </c>
      <c r="AO2" s="27"/>
      <c r="AP2" s="27"/>
      <c r="AQ2" s="27"/>
      <c r="AR2" s="27"/>
      <c r="AS2" s="27"/>
      <c r="AT2" s="27"/>
      <c r="AU2" s="26" t="s">
        <v>4</v>
      </c>
      <c r="AV2" s="27"/>
      <c r="AW2" s="27"/>
      <c r="AX2" s="27"/>
      <c r="AY2" s="27"/>
      <c r="AZ2" s="27"/>
      <c r="BA2" s="27"/>
      <c r="BB2" s="26" t="s">
        <v>5</v>
      </c>
      <c r="BC2" s="27"/>
      <c r="BD2" s="27"/>
      <c r="BE2" s="27"/>
      <c r="BF2" s="27"/>
      <c r="BG2" s="27"/>
      <c r="BH2" s="27"/>
    </row>
    <row r="3" spans="1:60" ht="14.5" x14ac:dyDescent="0.35">
      <c r="A3" s="29">
        <v>1</v>
      </c>
      <c r="B3" s="30"/>
      <c r="C3" s="30"/>
      <c r="D3" s="30"/>
      <c r="E3" s="29">
        <v>1.3819999999999999</v>
      </c>
      <c r="F3" s="30"/>
      <c r="G3" s="30"/>
      <c r="H3" s="30"/>
      <c r="I3" s="30"/>
      <c r="J3" s="30"/>
      <c r="K3" s="30"/>
      <c r="L3" s="28">
        <f>SUM(E3:K7)/5</f>
        <v>1.3350000000000002</v>
      </c>
      <c r="M3" s="10"/>
      <c r="N3" s="10"/>
      <c r="O3" s="10"/>
      <c r="P3" s="10"/>
      <c r="Q3" s="10"/>
      <c r="R3" s="10"/>
      <c r="S3" s="33">
        <f>E3-$L$3</f>
        <v>4.6999999999999709E-2</v>
      </c>
      <c r="T3" s="34"/>
      <c r="U3" s="34"/>
      <c r="V3" s="34"/>
      <c r="W3" s="34"/>
      <c r="X3" s="34"/>
      <c r="Y3" s="34"/>
      <c r="Z3" s="35">
        <f>S3^2</f>
        <v>2.2089999999999727E-3</v>
      </c>
      <c r="AA3" s="36"/>
      <c r="AB3" s="36"/>
      <c r="AC3" s="36"/>
      <c r="AD3" s="36"/>
      <c r="AE3" s="36"/>
      <c r="AF3" s="36"/>
      <c r="AG3" s="28">
        <f>SQRT(0.25*SUM(Z3:AF7))</f>
        <v>6.0431779718952479E-2</v>
      </c>
      <c r="AH3" s="10"/>
      <c r="AI3" s="10"/>
      <c r="AJ3" s="10"/>
      <c r="AK3" s="10"/>
      <c r="AL3" s="10"/>
      <c r="AM3" s="10"/>
      <c r="AN3" s="28">
        <f>MAX(E3:K7)</f>
        <v>1.4019999999999999</v>
      </c>
      <c r="AO3" s="10"/>
      <c r="AP3" s="10"/>
      <c r="AQ3" s="10"/>
      <c r="AR3" s="10"/>
      <c r="AS3" s="10"/>
      <c r="AT3" s="10"/>
      <c r="AU3" s="28">
        <f>MIN(E3:K7)</f>
        <v>1.262</v>
      </c>
      <c r="AV3" s="10"/>
      <c r="AW3" s="10"/>
      <c r="AX3" s="10"/>
      <c r="AY3" s="10"/>
      <c r="AZ3" s="10"/>
      <c r="BA3" s="10"/>
      <c r="BB3" s="28">
        <f>ABS(AN3-L3)/AG3</f>
        <v>1.1086881821385004</v>
      </c>
      <c r="BC3" s="10"/>
      <c r="BD3" s="10"/>
      <c r="BE3" s="10"/>
      <c r="BF3" s="10"/>
      <c r="BG3" s="10"/>
      <c r="BH3" s="10"/>
    </row>
    <row r="4" spans="1:60" ht="14.5" x14ac:dyDescent="0.35">
      <c r="A4" s="29">
        <v>2</v>
      </c>
      <c r="B4" s="30"/>
      <c r="C4" s="30"/>
      <c r="D4" s="30"/>
      <c r="E4" s="29">
        <v>1.4019999999999999</v>
      </c>
      <c r="F4" s="30"/>
      <c r="G4" s="30"/>
      <c r="H4" s="30"/>
      <c r="I4" s="30"/>
      <c r="J4" s="30"/>
      <c r="K4" s="30"/>
      <c r="L4" s="10"/>
      <c r="M4" s="10"/>
      <c r="N4" s="10"/>
      <c r="O4" s="10"/>
      <c r="P4" s="10"/>
      <c r="Q4" s="10"/>
      <c r="R4" s="10"/>
      <c r="S4" s="33">
        <f t="shared" ref="S4:S7" si="0">E4-$L$3</f>
        <v>6.6999999999999726E-2</v>
      </c>
      <c r="T4" s="34"/>
      <c r="U4" s="34"/>
      <c r="V4" s="34"/>
      <c r="W4" s="34"/>
      <c r="X4" s="34"/>
      <c r="Y4" s="34"/>
      <c r="Z4" s="35">
        <f t="shared" ref="Z4:Z7" si="1">S4^2</f>
        <v>4.4889999999999635E-3</v>
      </c>
      <c r="AA4" s="36"/>
      <c r="AB4" s="36"/>
      <c r="AC4" s="36"/>
      <c r="AD4" s="36"/>
      <c r="AE4" s="36"/>
      <c r="AF4" s="36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</row>
    <row r="5" spans="1:60" ht="14.5" x14ac:dyDescent="0.35">
      <c r="A5" s="29">
        <v>3</v>
      </c>
      <c r="B5" s="30"/>
      <c r="C5" s="30"/>
      <c r="D5" s="30"/>
      <c r="E5" s="29">
        <v>1.2849999999999999</v>
      </c>
      <c r="F5" s="30"/>
      <c r="G5" s="30"/>
      <c r="H5" s="30"/>
      <c r="I5" s="30"/>
      <c r="J5" s="30"/>
      <c r="K5" s="30"/>
      <c r="L5" s="10"/>
      <c r="M5" s="10"/>
      <c r="N5" s="10"/>
      <c r="O5" s="10"/>
      <c r="P5" s="10"/>
      <c r="Q5" s="10"/>
      <c r="R5" s="10"/>
      <c r="S5" s="33">
        <f t="shared" si="0"/>
        <v>-5.0000000000000266E-2</v>
      </c>
      <c r="T5" s="34"/>
      <c r="U5" s="34"/>
      <c r="V5" s="34"/>
      <c r="W5" s="34"/>
      <c r="X5" s="34"/>
      <c r="Y5" s="34"/>
      <c r="Z5" s="35">
        <f>S5^2</f>
        <v>2.5000000000000265E-3</v>
      </c>
      <c r="AA5" s="36"/>
      <c r="AB5" s="36"/>
      <c r="AC5" s="36"/>
      <c r="AD5" s="36"/>
      <c r="AE5" s="36"/>
      <c r="AF5" s="36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</row>
    <row r="6" spans="1:60" ht="14.5" x14ac:dyDescent="0.35">
      <c r="A6" s="29">
        <v>4</v>
      </c>
      <c r="B6" s="30"/>
      <c r="C6" s="30"/>
      <c r="D6" s="30"/>
      <c r="E6" s="29">
        <v>1.3440000000000001</v>
      </c>
      <c r="F6" s="30"/>
      <c r="G6" s="30"/>
      <c r="H6" s="30"/>
      <c r="I6" s="30"/>
      <c r="J6" s="30"/>
      <c r="K6" s="30"/>
      <c r="L6" s="10"/>
      <c r="M6" s="10"/>
      <c r="N6" s="10"/>
      <c r="O6" s="10"/>
      <c r="P6" s="10"/>
      <c r="Q6" s="10"/>
      <c r="R6" s="10"/>
      <c r="S6" s="33">
        <f t="shared" si="0"/>
        <v>8.999999999999897E-3</v>
      </c>
      <c r="T6" s="34"/>
      <c r="U6" s="34"/>
      <c r="V6" s="34"/>
      <c r="W6" s="34"/>
      <c r="X6" s="34"/>
      <c r="Y6" s="34"/>
      <c r="Z6" s="35">
        <f t="shared" si="1"/>
        <v>8.0999999999998147E-5</v>
      </c>
      <c r="AA6" s="36"/>
      <c r="AB6" s="36"/>
      <c r="AC6" s="36"/>
      <c r="AD6" s="36"/>
      <c r="AE6" s="36"/>
      <c r="AF6" s="36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</row>
    <row r="7" spans="1:60" ht="14.5" x14ac:dyDescent="0.35">
      <c r="A7" s="29">
        <v>5</v>
      </c>
      <c r="B7" s="30"/>
      <c r="C7" s="30"/>
      <c r="D7" s="30"/>
      <c r="E7" s="29">
        <v>1.262</v>
      </c>
      <c r="F7" s="30"/>
      <c r="G7" s="30"/>
      <c r="H7" s="30"/>
      <c r="I7" s="30"/>
      <c r="J7" s="30"/>
      <c r="K7" s="30"/>
      <c r="L7" s="10"/>
      <c r="M7" s="10"/>
      <c r="N7" s="10"/>
      <c r="O7" s="10"/>
      <c r="P7" s="10"/>
      <c r="Q7" s="10"/>
      <c r="R7" s="10"/>
      <c r="S7" s="33">
        <f t="shared" si="0"/>
        <v>-7.3000000000000176E-2</v>
      </c>
      <c r="T7" s="34"/>
      <c r="U7" s="34"/>
      <c r="V7" s="34"/>
      <c r="W7" s="34"/>
      <c r="X7" s="34"/>
      <c r="Y7" s="34"/>
      <c r="Z7" s="35">
        <f t="shared" si="1"/>
        <v>5.3290000000000256E-3</v>
      </c>
      <c r="AA7" s="36"/>
      <c r="AB7" s="36"/>
      <c r="AC7" s="36"/>
      <c r="AD7" s="36"/>
      <c r="AE7" s="36"/>
      <c r="AF7" s="36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9" spans="1:60" ht="14.5" x14ac:dyDescent="0.35">
      <c r="A9" s="26" t="s">
        <v>5</v>
      </c>
      <c r="B9" s="27"/>
      <c r="C9" s="27"/>
      <c r="D9" s="27"/>
      <c r="E9" s="27"/>
      <c r="F9" s="27"/>
      <c r="G9" s="27"/>
      <c r="H9" s="28" t="s">
        <v>6</v>
      </c>
      <c r="I9" s="10"/>
      <c r="J9" s="10"/>
      <c r="K9" s="10"/>
      <c r="L9" s="10"/>
      <c r="M9" s="10"/>
      <c r="N9" s="10"/>
      <c r="O9" s="29" t="s">
        <v>7</v>
      </c>
      <c r="P9" s="30"/>
      <c r="Q9" s="30"/>
      <c r="R9" s="30"/>
      <c r="S9" s="30"/>
      <c r="T9" s="30"/>
      <c r="U9" s="30"/>
      <c r="V9" s="29" t="s">
        <v>8</v>
      </c>
      <c r="W9" s="30"/>
      <c r="X9" s="30"/>
      <c r="Y9" s="30"/>
      <c r="Z9" s="30"/>
      <c r="AA9" s="30"/>
      <c r="AB9" s="30"/>
      <c r="AC9" s="28" t="s">
        <v>9</v>
      </c>
      <c r="AD9" s="10"/>
      <c r="AE9" s="10"/>
      <c r="AF9" s="10"/>
      <c r="AG9" s="10"/>
      <c r="AH9" s="10"/>
      <c r="AI9" s="10"/>
      <c r="AJ9" s="37"/>
      <c r="AK9" s="38"/>
      <c r="AL9" s="38"/>
      <c r="AM9" s="38"/>
      <c r="AN9" s="38"/>
      <c r="AO9" s="38"/>
      <c r="AP9" s="38"/>
    </row>
    <row r="10" spans="1:60" x14ac:dyDescent="0.3">
      <c r="A10" s="28">
        <f>ABS(L3-AU3)/AG3</f>
        <v>1.2079736909867322</v>
      </c>
      <c r="B10" s="10"/>
      <c r="C10" s="10"/>
      <c r="D10" s="10"/>
      <c r="E10" s="10"/>
      <c r="F10" s="10"/>
      <c r="G10" s="10"/>
      <c r="H10" s="28">
        <f>AG3/SQRT(5)</f>
        <v>2.7025913490574174E-2</v>
      </c>
      <c r="I10" s="10"/>
      <c r="J10" s="10"/>
      <c r="K10" s="10"/>
      <c r="L10" s="10"/>
      <c r="M10" s="10"/>
      <c r="N10" s="10"/>
      <c r="O10" s="31">
        <f>2.776*H10</f>
        <v>7.5023935849833898E-2</v>
      </c>
      <c r="P10" s="32"/>
      <c r="Q10" s="32"/>
      <c r="R10" s="32"/>
      <c r="S10" s="32"/>
      <c r="T10" s="32"/>
      <c r="U10" s="32"/>
      <c r="V10" s="28">
        <f>0.001/2</f>
        <v>5.0000000000000001E-4</v>
      </c>
      <c r="W10" s="10"/>
      <c r="X10" s="10"/>
      <c r="Y10" s="10"/>
      <c r="Z10" s="10"/>
      <c r="AA10" s="10"/>
      <c r="AB10" s="10"/>
      <c r="AC10" s="28">
        <f>SQRT(O10^2+V10^2)</f>
        <v>7.5025601966262095E-2</v>
      </c>
      <c r="AD10" s="10"/>
      <c r="AE10" s="10"/>
      <c r="AF10" s="10"/>
      <c r="AG10" s="10"/>
      <c r="AH10" s="10"/>
      <c r="AI10" s="10"/>
      <c r="AJ10" s="28">
        <f>(AC10/L3)*100</f>
        <v>5.6198952783716916</v>
      </c>
      <c r="AK10" s="10"/>
      <c r="AL10" s="10"/>
      <c r="AM10" s="10"/>
      <c r="AN10" s="10"/>
      <c r="AO10" s="10"/>
      <c r="AP10" s="10"/>
    </row>
    <row r="11" spans="1:60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32"/>
      <c r="P11" s="32"/>
      <c r="Q11" s="32"/>
      <c r="R11" s="32"/>
      <c r="S11" s="32"/>
      <c r="T11" s="32"/>
      <c r="U11" s="32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1:60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32"/>
      <c r="P12" s="32"/>
      <c r="Q12" s="32"/>
      <c r="R12" s="32"/>
      <c r="S12" s="32"/>
      <c r="T12" s="32"/>
      <c r="U12" s="32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spans="1:60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32"/>
      <c r="P13" s="32"/>
      <c r="Q13" s="32"/>
      <c r="R13" s="32"/>
      <c r="S13" s="32"/>
      <c r="T13" s="32"/>
      <c r="U13" s="32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60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32"/>
      <c r="P14" s="32"/>
      <c r="Q14" s="32"/>
      <c r="R14" s="32"/>
      <c r="S14" s="32"/>
      <c r="T14" s="32"/>
      <c r="U14" s="32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6" spans="1:60" ht="60.75" customHeight="1" x14ac:dyDescent="0.3">
      <c r="A16" s="2" t="s">
        <v>10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2" t="s">
        <v>1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2" t="s">
        <v>11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</row>
    <row r="17" spans="1:60" ht="14.5" x14ac:dyDescent="0.3">
      <c r="A17" s="2">
        <v>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2">
        <v>1.3819999999999999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2">
        <f>SUM(U17:AN21)/5</f>
        <v>1.3350000000000002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</row>
    <row r="18" spans="1:60" ht="14.5" x14ac:dyDescent="0.3">
      <c r="A18" s="2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2">
        <v>1.4019999999999999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0" ht="14.5" x14ac:dyDescent="0.3">
      <c r="A19" s="2">
        <v>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2">
        <v>1.2849999999999999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</row>
    <row r="20" spans="1:60" ht="14.5" x14ac:dyDescent="0.3">
      <c r="A20" s="2">
        <v>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2">
        <v>1.3440000000000001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</row>
    <row r="21" spans="1:60" ht="14.5" x14ac:dyDescent="0.3">
      <c r="A21" s="2">
        <v>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2">
        <v>1.262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</row>
    <row r="23" spans="1:60" ht="144" customHeight="1" x14ac:dyDescent="0.3">
      <c r="A23" s="25" t="s">
        <v>10</v>
      </c>
      <c r="B23" s="21"/>
      <c r="C23" s="21"/>
      <c r="D23" s="21"/>
      <c r="E23" s="22"/>
      <c r="F23" s="25" t="s">
        <v>0</v>
      </c>
      <c r="G23" s="21"/>
      <c r="H23" s="21"/>
      <c r="I23" s="21"/>
      <c r="J23" s="21"/>
      <c r="K23" s="21"/>
      <c r="L23" s="21"/>
      <c r="M23" s="22"/>
      <c r="N23" s="25" t="s">
        <v>11</v>
      </c>
      <c r="O23" s="21"/>
      <c r="P23" s="21"/>
      <c r="Q23" s="21"/>
      <c r="R23" s="21"/>
      <c r="S23" s="21"/>
      <c r="T23" s="22"/>
      <c r="U23" s="24" t="s">
        <v>12</v>
      </c>
      <c r="V23" s="24"/>
      <c r="W23" s="24"/>
      <c r="X23" s="24"/>
      <c r="Y23" s="24"/>
      <c r="Z23" s="24"/>
      <c r="AA23" s="24"/>
      <c r="AB23" s="24"/>
      <c r="AC23" s="24"/>
      <c r="AD23" s="24"/>
      <c r="AE23" s="24" t="s">
        <v>13</v>
      </c>
      <c r="AF23" s="24"/>
      <c r="AG23" s="24"/>
      <c r="AH23" s="24"/>
      <c r="AI23" s="24"/>
      <c r="AJ23" s="24"/>
      <c r="AK23" s="24"/>
      <c r="AL23" s="24"/>
      <c r="AM23" s="24"/>
      <c r="AN23" s="24"/>
      <c r="AO23" s="2" t="s">
        <v>14</v>
      </c>
      <c r="AP23" s="2"/>
      <c r="AQ23" s="2"/>
      <c r="AR23" s="2"/>
      <c r="AS23" s="2"/>
      <c r="AT23" s="2"/>
      <c r="AU23" s="2"/>
      <c r="AV23" s="2"/>
      <c r="AW23" s="2"/>
      <c r="AX23" s="2"/>
      <c r="AY23" s="2" t="s">
        <v>15</v>
      </c>
      <c r="AZ23" s="2"/>
      <c r="BA23" s="2"/>
      <c r="BB23" s="2"/>
      <c r="BC23" s="2"/>
      <c r="BD23" s="2"/>
      <c r="BE23" s="2"/>
      <c r="BF23" s="2"/>
      <c r="BG23" s="2"/>
      <c r="BH23" s="2"/>
    </row>
    <row r="24" spans="1:60" ht="14.5" x14ac:dyDescent="0.3">
      <c r="A24" s="18">
        <v>1</v>
      </c>
      <c r="B24" s="19"/>
      <c r="C24" s="19"/>
      <c r="D24" s="19"/>
      <c r="E24" s="20"/>
      <c r="F24" s="18">
        <v>1.3819999999999999</v>
      </c>
      <c r="G24" s="21"/>
      <c r="H24" s="21"/>
      <c r="I24" s="21"/>
      <c r="J24" s="21"/>
      <c r="K24" s="21"/>
      <c r="L24" s="21"/>
      <c r="M24" s="22"/>
      <c r="N24" s="23">
        <f>SUM(F24:M28)/5</f>
        <v>1.3350000000000002</v>
      </c>
      <c r="O24" s="7"/>
      <c r="P24" s="7"/>
      <c r="Q24" s="7"/>
      <c r="R24" s="7"/>
      <c r="S24" s="7"/>
      <c r="T24" s="8"/>
      <c r="U24" s="6">
        <f>MAX(F24:M28)</f>
        <v>1.4019999999999999</v>
      </c>
      <c r="V24" s="7"/>
      <c r="W24" s="7"/>
      <c r="X24" s="7"/>
      <c r="Y24" s="7"/>
      <c r="Z24" s="7"/>
      <c r="AA24" s="7"/>
      <c r="AB24" s="7"/>
      <c r="AC24" s="7"/>
      <c r="AD24" s="8"/>
      <c r="AE24" s="6">
        <f>MIN(F24:M28)</f>
        <v>1.262</v>
      </c>
      <c r="AF24" s="7"/>
      <c r="AG24" s="7"/>
      <c r="AH24" s="7"/>
      <c r="AI24" s="7"/>
      <c r="AJ24" s="7"/>
      <c r="AK24" s="7"/>
      <c r="AL24" s="7"/>
      <c r="AM24" s="7"/>
      <c r="AN24" s="8"/>
      <c r="AO24" s="15">
        <f>ABS(U24-N24)/0.06043178</f>
        <v>1.1086881769823713</v>
      </c>
      <c r="AP24" s="16"/>
      <c r="AQ24" s="16"/>
      <c r="AR24" s="16"/>
      <c r="AS24" s="16"/>
      <c r="AT24" s="16"/>
      <c r="AU24" s="16"/>
      <c r="AV24" s="16"/>
      <c r="AW24" s="16"/>
      <c r="AX24" s="17"/>
      <c r="AY24" s="15">
        <f>ABS(N24-AE24)/0.06043178</f>
        <v>1.2079736853688603</v>
      </c>
      <c r="AZ24" s="16"/>
      <c r="BA24" s="16"/>
      <c r="BB24" s="16"/>
      <c r="BC24" s="16"/>
      <c r="BD24" s="16"/>
      <c r="BE24" s="16"/>
      <c r="BF24" s="16"/>
      <c r="BG24" s="16"/>
      <c r="BH24" s="17"/>
    </row>
    <row r="25" spans="1:60" ht="14.5" x14ac:dyDescent="0.3">
      <c r="A25" s="18">
        <v>2</v>
      </c>
      <c r="B25" s="19"/>
      <c r="C25" s="19"/>
      <c r="D25" s="19"/>
      <c r="E25" s="20"/>
      <c r="F25" s="18">
        <v>1.4019999999999999</v>
      </c>
      <c r="G25" s="21"/>
      <c r="H25" s="21"/>
      <c r="I25" s="21"/>
      <c r="J25" s="21"/>
      <c r="K25" s="21"/>
      <c r="L25" s="21"/>
      <c r="M25" s="22"/>
      <c r="N25" s="9"/>
      <c r="O25" s="10"/>
      <c r="P25" s="10"/>
      <c r="Q25" s="10"/>
      <c r="R25" s="10"/>
      <c r="S25" s="10"/>
      <c r="T25" s="11"/>
      <c r="U25" s="9"/>
      <c r="V25" s="10"/>
      <c r="W25" s="10"/>
      <c r="X25" s="10"/>
      <c r="Y25" s="10"/>
      <c r="Z25" s="10"/>
      <c r="AA25" s="10"/>
      <c r="AB25" s="10"/>
      <c r="AC25" s="10"/>
      <c r="AD25" s="11"/>
      <c r="AE25" s="9"/>
      <c r="AF25" s="10"/>
      <c r="AG25" s="10"/>
      <c r="AH25" s="10"/>
      <c r="AI25" s="10"/>
      <c r="AJ25" s="10"/>
      <c r="AK25" s="10"/>
      <c r="AL25" s="10"/>
      <c r="AM25" s="10"/>
      <c r="AN25" s="11"/>
      <c r="AO25" s="9"/>
      <c r="AP25" s="10"/>
      <c r="AQ25" s="10"/>
      <c r="AR25" s="10"/>
      <c r="AS25" s="10"/>
      <c r="AT25" s="10"/>
      <c r="AU25" s="10"/>
      <c r="AV25" s="10"/>
      <c r="AW25" s="10"/>
      <c r="AX25" s="11"/>
      <c r="AY25" s="9"/>
      <c r="AZ25" s="10"/>
      <c r="BA25" s="10"/>
      <c r="BB25" s="10"/>
      <c r="BC25" s="10"/>
      <c r="BD25" s="10"/>
      <c r="BE25" s="10"/>
      <c r="BF25" s="10"/>
      <c r="BG25" s="10"/>
      <c r="BH25" s="11"/>
    </row>
    <row r="26" spans="1:60" ht="14.5" x14ac:dyDescent="0.3">
      <c r="A26" s="18">
        <v>3</v>
      </c>
      <c r="B26" s="19"/>
      <c r="C26" s="19"/>
      <c r="D26" s="19"/>
      <c r="E26" s="20"/>
      <c r="F26" s="18">
        <v>1.2849999999999999</v>
      </c>
      <c r="G26" s="21"/>
      <c r="H26" s="21"/>
      <c r="I26" s="21"/>
      <c r="J26" s="21"/>
      <c r="K26" s="21"/>
      <c r="L26" s="21"/>
      <c r="M26" s="22"/>
      <c r="N26" s="9"/>
      <c r="O26" s="10"/>
      <c r="P26" s="10"/>
      <c r="Q26" s="10"/>
      <c r="R26" s="10"/>
      <c r="S26" s="10"/>
      <c r="T26" s="11"/>
      <c r="U26" s="9"/>
      <c r="V26" s="10"/>
      <c r="W26" s="10"/>
      <c r="X26" s="10"/>
      <c r="Y26" s="10"/>
      <c r="Z26" s="10"/>
      <c r="AA26" s="10"/>
      <c r="AB26" s="10"/>
      <c r="AC26" s="10"/>
      <c r="AD26" s="11"/>
      <c r="AE26" s="9"/>
      <c r="AF26" s="10"/>
      <c r="AG26" s="10"/>
      <c r="AH26" s="10"/>
      <c r="AI26" s="10"/>
      <c r="AJ26" s="10"/>
      <c r="AK26" s="10"/>
      <c r="AL26" s="10"/>
      <c r="AM26" s="10"/>
      <c r="AN26" s="11"/>
      <c r="AO26" s="9"/>
      <c r="AP26" s="10"/>
      <c r="AQ26" s="10"/>
      <c r="AR26" s="10"/>
      <c r="AS26" s="10"/>
      <c r="AT26" s="10"/>
      <c r="AU26" s="10"/>
      <c r="AV26" s="10"/>
      <c r="AW26" s="10"/>
      <c r="AX26" s="11"/>
      <c r="AY26" s="9"/>
      <c r="AZ26" s="10"/>
      <c r="BA26" s="10"/>
      <c r="BB26" s="10"/>
      <c r="BC26" s="10"/>
      <c r="BD26" s="10"/>
      <c r="BE26" s="10"/>
      <c r="BF26" s="10"/>
      <c r="BG26" s="10"/>
      <c r="BH26" s="11"/>
    </row>
    <row r="27" spans="1:60" ht="14.5" x14ac:dyDescent="0.3">
      <c r="A27" s="18">
        <v>4</v>
      </c>
      <c r="B27" s="19"/>
      <c r="C27" s="19"/>
      <c r="D27" s="19"/>
      <c r="E27" s="20"/>
      <c r="F27" s="18">
        <v>1.3440000000000001</v>
      </c>
      <c r="G27" s="21"/>
      <c r="H27" s="21"/>
      <c r="I27" s="21"/>
      <c r="J27" s="21"/>
      <c r="K27" s="21"/>
      <c r="L27" s="21"/>
      <c r="M27" s="22"/>
      <c r="N27" s="9"/>
      <c r="O27" s="10"/>
      <c r="P27" s="10"/>
      <c r="Q27" s="10"/>
      <c r="R27" s="10"/>
      <c r="S27" s="10"/>
      <c r="T27" s="11"/>
      <c r="U27" s="9"/>
      <c r="V27" s="10"/>
      <c r="W27" s="10"/>
      <c r="X27" s="10"/>
      <c r="Y27" s="10"/>
      <c r="Z27" s="10"/>
      <c r="AA27" s="10"/>
      <c r="AB27" s="10"/>
      <c r="AC27" s="10"/>
      <c r="AD27" s="11"/>
      <c r="AE27" s="9"/>
      <c r="AF27" s="10"/>
      <c r="AG27" s="10"/>
      <c r="AH27" s="10"/>
      <c r="AI27" s="10"/>
      <c r="AJ27" s="10"/>
      <c r="AK27" s="10"/>
      <c r="AL27" s="10"/>
      <c r="AM27" s="10"/>
      <c r="AN27" s="11"/>
      <c r="AO27" s="9"/>
      <c r="AP27" s="10"/>
      <c r="AQ27" s="10"/>
      <c r="AR27" s="10"/>
      <c r="AS27" s="10"/>
      <c r="AT27" s="10"/>
      <c r="AU27" s="10"/>
      <c r="AV27" s="10"/>
      <c r="AW27" s="10"/>
      <c r="AX27" s="11"/>
      <c r="AY27" s="9"/>
      <c r="AZ27" s="10"/>
      <c r="BA27" s="10"/>
      <c r="BB27" s="10"/>
      <c r="BC27" s="10"/>
      <c r="BD27" s="10"/>
      <c r="BE27" s="10"/>
      <c r="BF27" s="10"/>
      <c r="BG27" s="10"/>
      <c r="BH27" s="11"/>
    </row>
    <row r="28" spans="1:60" ht="14.5" x14ac:dyDescent="0.3">
      <c r="A28" s="18">
        <v>5</v>
      </c>
      <c r="B28" s="19"/>
      <c r="C28" s="19"/>
      <c r="D28" s="19"/>
      <c r="E28" s="20"/>
      <c r="F28" s="18">
        <v>1.262</v>
      </c>
      <c r="G28" s="21"/>
      <c r="H28" s="21"/>
      <c r="I28" s="21"/>
      <c r="J28" s="21"/>
      <c r="K28" s="21"/>
      <c r="L28" s="21"/>
      <c r="M28" s="22"/>
      <c r="N28" s="12"/>
      <c r="O28" s="13"/>
      <c r="P28" s="13"/>
      <c r="Q28" s="13"/>
      <c r="R28" s="13"/>
      <c r="S28" s="13"/>
      <c r="T28" s="14"/>
      <c r="U28" s="12"/>
      <c r="V28" s="13"/>
      <c r="W28" s="13"/>
      <c r="X28" s="13"/>
      <c r="Y28" s="13"/>
      <c r="Z28" s="13"/>
      <c r="AA28" s="13"/>
      <c r="AB28" s="13"/>
      <c r="AC28" s="13"/>
      <c r="AD28" s="14"/>
      <c r="AE28" s="12"/>
      <c r="AF28" s="13"/>
      <c r="AG28" s="13"/>
      <c r="AH28" s="13"/>
      <c r="AI28" s="13"/>
      <c r="AJ28" s="13"/>
      <c r="AK28" s="13"/>
      <c r="AL28" s="13"/>
      <c r="AM28" s="13"/>
      <c r="AN28" s="14"/>
      <c r="AO28" s="12"/>
      <c r="AP28" s="13"/>
      <c r="AQ28" s="13"/>
      <c r="AR28" s="13"/>
      <c r="AS28" s="13"/>
      <c r="AT28" s="13"/>
      <c r="AU28" s="13"/>
      <c r="AV28" s="13"/>
      <c r="AW28" s="13"/>
      <c r="AX28" s="14"/>
      <c r="AY28" s="12"/>
      <c r="AZ28" s="13"/>
      <c r="BA28" s="13"/>
      <c r="BB28" s="13"/>
      <c r="BC28" s="13"/>
      <c r="BD28" s="13"/>
      <c r="BE28" s="13"/>
      <c r="BF28" s="13"/>
      <c r="BG28" s="13"/>
      <c r="BH28" s="14"/>
    </row>
    <row r="30" spans="1:60" ht="102" customHeight="1" x14ac:dyDescent="0.3">
      <c r="A30" s="2" t="s">
        <v>16</v>
      </c>
      <c r="B30" s="3"/>
      <c r="C30" s="3"/>
      <c r="D30" s="3"/>
      <c r="E30" s="3"/>
      <c r="F30" s="3"/>
      <c r="G30" s="3"/>
      <c r="H30" s="3"/>
      <c r="I30" s="3"/>
      <c r="J30" s="3"/>
      <c r="K30" s="2" t="s">
        <v>17</v>
      </c>
      <c r="L30" s="3"/>
      <c r="M30" s="3"/>
      <c r="N30" s="3"/>
      <c r="O30" s="3"/>
      <c r="P30" s="3"/>
      <c r="Q30" s="3"/>
      <c r="R30" s="3"/>
      <c r="S30" s="3"/>
      <c r="T30" s="3"/>
      <c r="U30" s="2" t="s">
        <v>18</v>
      </c>
      <c r="V30" s="3"/>
      <c r="W30" s="3"/>
      <c r="X30" s="3"/>
      <c r="Y30" s="3"/>
      <c r="Z30" s="3"/>
      <c r="AA30" s="3"/>
      <c r="AB30" s="3"/>
      <c r="AC30" s="3"/>
      <c r="AD30" s="3"/>
      <c r="AE30" s="2" t="s">
        <v>19</v>
      </c>
      <c r="AF30" s="3"/>
      <c r="AG30" s="3"/>
      <c r="AH30" s="3"/>
      <c r="AI30" s="3"/>
      <c r="AJ30" s="3"/>
      <c r="AK30" s="3"/>
      <c r="AL30" s="3"/>
      <c r="AM30" s="3"/>
      <c r="AN30" s="3"/>
      <c r="AO30" s="2" t="s">
        <v>20</v>
      </c>
      <c r="AP30" s="3"/>
      <c r="AQ30" s="3"/>
      <c r="AR30" s="3"/>
      <c r="AS30" s="3"/>
      <c r="AT30" s="3"/>
      <c r="AU30" s="3"/>
      <c r="AV30" s="3"/>
      <c r="AW30" s="3"/>
      <c r="AX30" s="3"/>
      <c r="AY30" s="2" t="s">
        <v>21</v>
      </c>
      <c r="AZ30" s="3"/>
      <c r="BA30" s="3"/>
      <c r="BB30" s="3"/>
      <c r="BC30" s="3"/>
      <c r="BD30" s="3"/>
      <c r="BE30" s="3"/>
      <c r="BF30" s="3"/>
      <c r="BG30" s="3"/>
      <c r="BH30" s="3"/>
    </row>
    <row r="31" spans="1:60" ht="14.5" x14ac:dyDescent="0.35">
      <c r="A31" s="4">
        <v>0.95</v>
      </c>
      <c r="B31" s="5"/>
      <c r="C31" s="5"/>
      <c r="D31" s="5"/>
      <c r="E31" s="5"/>
      <c r="F31" s="5"/>
      <c r="G31" s="5"/>
      <c r="H31" s="5"/>
      <c r="I31" s="5"/>
      <c r="J31" s="5"/>
      <c r="K31" s="4">
        <v>4</v>
      </c>
      <c r="L31" s="5"/>
      <c r="M31" s="5"/>
      <c r="N31" s="5"/>
      <c r="O31" s="5"/>
      <c r="P31" s="5"/>
      <c r="Q31" s="5"/>
      <c r="R31" s="5"/>
      <c r="S31" s="5"/>
      <c r="T31" s="5"/>
      <c r="U31" s="4">
        <v>2.7759999999999998</v>
      </c>
      <c r="V31" s="5"/>
      <c r="W31" s="5"/>
      <c r="X31" s="5"/>
      <c r="Y31" s="5"/>
      <c r="Z31" s="5"/>
      <c r="AA31" s="5"/>
      <c r="AB31" s="5"/>
      <c r="AC31" s="5"/>
      <c r="AD31" s="5"/>
      <c r="AE31" s="4">
        <v>6.0431779999999997E-2</v>
      </c>
      <c r="AF31" s="5"/>
      <c r="AG31" s="5"/>
      <c r="AH31" s="5"/>
      <c r="AI31" s="5"/>
      <c r="AJ31" s="5"/>
      <c r="AK31" s="5"/>
      <c r="AL31" s="5"/>
      <c r="AM31" s="5"/>
      <c r="AN31" s="5"/>
      <c r="AO31" s="4">
        <f>AE31/SQRT(5)</f>
        <v>2.7025913616262446E-2</v>
      </c>
      <c r="AP31" s="5"/>
      <c r="AQ31" s="5"/>
      <c r="AR31" s="5"/>
      <c r="AS31" s="5"/>
      <c r="AT31" s="5"/>
      <c r="AU31" s="5"/>
      <c r="AV31" s="5"/>
      <c r="AW31" s="5"/>
      <c r="AX31" s="5"/>
      <c r="AY31" s="4">
        <f>U31*AO31</f>
        <v>7.5023936198744548E-2</v>
      </c>
      <c r="AZ31" s="5"/>
      <c r="BA31" s="5"/>
      <c r="BB31" s="5"/>
      <c r="BC31" s="5"/>
      <c r="BD31" s="5"/>
      <c r="BE31" s="5"/>
      <c r="BF31" s="5"/>
      <c r="BG31" s="5"/>
      <c r="BH31" s="5"/>
    </row>
    <row r="35" spans="1:60" ht="102.75" customHeight="1" x14ac:dyDescent="0.3">
      <c r="A35" s="2" t="s">
        <v>22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2" t="s">
        <v>23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2" t="s">
        <v>24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2" t="s">
        <v>25</v>
      </c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2" t="s">
        <v>26</v>
      </c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spans="1:60" ht="14.5" x14ac:dyDescent="0.3">
      <c r="A36" s="2">
        <v>7.5023935999999999E-2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2">
        <v>5.0000000000000001E-4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2">
        <f>SQRT(A36^2+M36^2)</f>
        <v>7.5025602116424867E-2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2">
        <f>1.335</f>
        <v>1.335</v>
      </c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2">
        <f>(Y36/AK36)*100</f>
        <v>5.6198952896198406</v>
      </c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</sheetData>
  <mergeCells count="104">
    <mergeCell ref="A2:D2"/>
    <mergeCell ref="A3:D3"/>
    <mergeCell ref="A4:D4"/>
    <mergeCell ref="A5:D5"/>
    <mergeCell ref="AC10:AI14"/>
    <mergeCell ref="AC9:AI9"/>
    <mergeCell ref="AJ9:AP9"/>
    <mergeCell ref="AJ10:AP14"/>
    <mergeCell ref="A16:T16"/>
    <mergeCell ref="U16:AN16"/>
    <mergeCell ref="AG3:AM7"/>
    <mergeCell ref="AN3:AT7"/>
    <mergeCell ref="AU3:BA7"/>
    <mergeCell ref="BB3:BH7"/>
    <mergeCell ref="BB2:BH2"/>
    <mergeCell ref="E3:K3"/>
    <mergeCell ref="E4:K4"/>
    <mergeCell ref="E5:K5"/>
    <mergeCell ref="E6:K6"/>
    <mergeCell ref="E7:K7"/>
    <mergeCell ref="S3:Y3"/>
    <mergeCell ref="Z3:AF3"/>
    <mergeCell ref="S4:Y4"/>
    <mergeCell ref="Z4:AF4"/>
    <mergeCell ref="S5:Y5"/>
    <mergeCell ref="E2:K2"/>
    <mergeCell ref="L2:R2"/>
    <mergeCell ref="S2:Y2"/>
    <mergeCell ref="Z2:AF2"/>
    <mergeCell ref="AG2:AM2"/>
    <mergeCell ref="AN2:AT2"/>
    <mergeCell ref="AU2:BA2"/>
    <mergeCell ref="Z5:AF5"/>
    <mergeCell ref="L3:R7"/>
    <mergeCell ref="A9:G9"/>
    <mergeCell ref="A10:G14"/>
    <mergeCell ref="H9:N9"/>
    <mergeCell ref="O9:U9"/>
    <mergeCell ref="V9:AB9"/>
    <mergeCell ref="H10:N14"/>
    <mergeCell ref="O10:U14"/>
    <mergeCell ref="V10:AB14"/>
    <mergeCell ref="S6:Y6"/>
    <mergeCell ref="Z6:AF6"/>
    <mergeCell ref="S7:Y7"/>
    <mergeCell ref="Z7:AF7"/>
    <mergeCell ref="A6:D6"/>
    <mergeCell ref="A7:D7"/>
    <mergeCell ref="U23:AD23"/>
    <mergeCell ref="AE23:AN23"/>
    <mergeCell ref="AO23:AX23"/>
    <mergeCell ref="AY23:BH23"/>
    <mergeCell ref="A23:E23"/>
    <mergeCell ref="F23:M23"/>
    <mergeCell ref="N23:T23"/>
    <mergeCell ref="AO16:BH16"/>
    <mergeCell ref="A17:T17"/>
    <mergeCell ref="A18:T18"/>
    <mergeCell ref="A19:T19"/>
    <mergeCell ref="A20:T20"/>
    <mergeCell ref="A21:T21"/>
    <mergeCell ref="U17:AN17"/>
    <mergeCell ref="U18:AN18"/>
    <mergeCell ref="U19:AN19"/>
    <mergeCell ref="U20:AN20"/>
    <mergeCell ref="U21:AN21"/>
    <mergeCell ref="AO17:BH21"/>
    <mergeCell ref="A30:J30"/>
    <mergeCell ref="K30:T30"/>
    <mergeCell ref="U30:AD30"/>
    <mergeCell ref="AE30:AN30"/>
    <mergeCell ref="AO30:AX30"/>
    <mergeCell ref="AY30:BH30"/>
    <mergeCell ref="U24:AD28"/>
    <mergeCell ref="AY24:BH28"/>
    <mergeCell ref="AE24:AN28"/>
    <mergeCell ref="AO24:AX28"/>
    <mergeCell ref="A24:E24"/>
    <mergeCell ref="A25:E25"/>
    <mergeCell ref="A26:E26"/>
    <mergeCell ref="A27:E27"/>
    <mergeCell ref="A28:E28"/>
    <mergeCell ref="F24:M24"/>
    <mergeCell ref="F25:M25"/>
    <mergeCell ref="F26:M26"/>
    <mergeCell ref="F27:M27"/>
    <mergeCell ref="F28:M28"/>
    <mergeCell ref="N24:T28"/>
    <mergeCell ref="A36:L36"/>
    <mergeCell ref="M36:X36"/>
    <mergeCell ref="Y36:AJ36"/>
    <mergeCell ref="AK36:AV36"/>
    <mergeCell ref="AW36:BH36"/>
    <mergeCell ref="A31:J31"/>
    <mergeCell ref="K31:T31"/>
    <mergeCell ref="U31:AD31"/>
    <mergeCell ref="AE31:AN31"/>
    <mergeCell ref="AO31:AX31"/>
    <mergeCell ref="AY31:BH31"/>
    <mergeCell ref="A35:L35"/>
    <mergeCell ref="M35:X35"/>
    <mergeCell ref="Y35:AJ35"/>
    <mergeCell ref="AK35:AV35"/>
    <mergeCell ref="AW35:BH35"/>
  </mergeCells>
  <phoneticPr fontId="4" type="noConversion"/>
  <pageMargins left="1.1811023622047245" right="0.39370078740157483" top="0.78740157480314965" bottom="0.78740157480314965" header="0.31496062992125984" footer="0.31496062992125984"/>
  <pageSetup paperSize="9" orientation="portrait" horizontalDpi="180" verticalDpi="180" r:id="rId1"/>
  <headerFooter>
    <oddHeader xml:space="preserve">&amp;R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2025-09-21T17:06:25Z</dcterms:modified>
</cp:coreProperties>
</file>