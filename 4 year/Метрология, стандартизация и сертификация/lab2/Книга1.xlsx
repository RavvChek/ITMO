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MO\4 course ITMO\Метрология, стандартизация и сертификация\lab2\"/>
    </mc:Choice>
  </mc:AlternateContent>
  <xr:revisionPtr revIDLastSave="0" documentId="8_{4EB1D765-928A-40E6-B9CF-03657FCCAE41}" xr6:coauthVersionLast="47" xr6:coauthVersionMax="47" xr10:uidLastSave="{00000000-0000-0000-0000-000000000000}"/>
  <bookViews>
    <workbookView xWindow="-90" yWindow="6840" windowWidth="10800" windowHeight="6930" xr2:uid="{EC612D78-B842-4CDC-8C4D-8F263B0A4EB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" i="1" l="1"/>
  <c r="AC5" i="1"/>
  <c r="AD5" i="1"/>
  <c r="AE5" i="1"/>
  <c r="AB5" i="1"/>
  <c r="I7" i="1"/>
  <c r="H7" i="1"/>
  <c r="X5" i="1"/>
  <c r="Y5" i="1"/>
  <c r="Z5" i="1"/>
  <c r="W5" i="1"/>
  <c r="S5" i="1"/>
  <c r="T5" i="1"/>
  <c r="U5" i="1"/>
  <c r="R5" i="1"/>
  <c r="P5" i="1"/>
  <c r="N5" i="1"/>
  <c r="O5" i="1"/>
  <c r="M5" i="1"/>
  <c r="F13" i="1"/>
  <c r="D11" i="1"/>
  <c r="E11" i="1"/>
  <c r="F11" i="1"/>
  <c r="D12" i="1"/>
  <c r="E12" i="1"/>
  <c r="F12" i="1"/>
  <c r="D13" i="1"/>
  <c r="E13" i="1"/>
  <c r="D14" i="1"/>
  <c r="E14" i="1"/>
  <c r="F14" i="1"/>
  <c r="D15" i="1"/>
  <c r="E15" i="1"/>
  <c r="F15" i="1"/>
  <c r="C12" i="1"/>
  <c r="C13" i="1"/>
  <c r="C14" i="1"/>
  <c r="C15" i="1"/>
  <c r="C11" i="1"/>
  <c r="H5" i="1"/>
  <c r="K5" i="1"/>
  <c r="J5" i="1"/>
  <c r="I5" i="1"/>
</calcChain>
</file>

<file path=xl/sharedStrings.xml><?xml version="1.0" encoding="utf-8"?>
<sst xmlns="http://schemas.openxmlformats.org/spreadsheetml/2006/main" count="23" uniqueCount="23">
  <si>
    <t>№</t>
  </si>
  <si>
    <r>
      <t>l</t>
    </r>
    <r>
      <rPr>
        <i/>
        <vertAlign val="subscript"/>
        <sz val="12"/>
        <color theme="1"/>
        <rFont val="Times New Roman"/>
        <family val="1"/>
        <charset val="204"/>
      </rPr>
      <t>1</t>
    </r>
    <r>
      <rPr>
        <sz val="12"/>
        <color theme="1"/>
        <rFont val="Times New Roman"/>
        <family val="1"/>
        <charset val="204"/>
      </rPr>
      <t>, мм</t>
    </r>
  </si>
  <si>
    <r>
      <t>l</t>
    </r>
    <r>
      <rPr>
        <i/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, мм</t>
    </r>
  </si>
  <si>
    <r>
      <t>l</t>
    </r>
    <r>
      <rPr>
        <i/>
        <vertAlign val="sub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, мм</t>
    </r>
  </si>
  <si>
    <r>
      <t>m</t>
    </r>
    <r>
      <rPr>
        <sz val="12"/>
        <color theme="1"/>
        <rFont val="Times New Roman"/>
        <family val="1"/>
        <charset val="204"/>
      </rPr>
      <t>, г</t>
    </r>
  </si>
  <si>
    <t>n=</t>
  </si>
  <si>
    <t>Среднее арифметическое l_1, мм</t>
  </si>
  <si>
    <t>Среднее арифметическое l_2, мм</t>
  </si>
  <si>
    <t>Среднее арифметическое l_3, мм</t>
  </si>
  <si>
    <t>Среднее арифметическое m, г</t>
  </si>
  <si>
    <t>Среднее квадратическое отклонение l_1, мм</t>
  </si>
  <si>
    <t>Среднее квадратическое отклонение l_2,
мм</t>
  </si>
  <si>
    <t>Среднее квадратическое отклонение l_3, мм</t>
  </si>
  <si>
    <t>Среднее квадратическое отклонение m,
г</t>
  </si>
  <si>
    <t>Среднее квадратическое отклонение среднего l_1, мм</t>
  </si>
  <si>
    <t>Среднее квадратическое отклонение среднего l_2,
мм</t>
  </si>
  <si>
    <t>Среднее квадратическое отклонение среднего l_3, мм</t>
  </si>
  <si>
    <t>Среднее квадратическое отклонение среднего m,
г</t>
  </si>
  <si>
    <t>t=</t>
  </si>
  <si>
    <t>Доверительная граница случайности 〖 ε〗_(l ̅_1 ), мм</t>
  </si>
  <si>
    <t>Доверительная граница случайности 〖 ε〗_(l ̅_2 ),
мм</t>
  </si>
  <si>
    <t>Доверительная граница случайности 〖 ε〗_(l ̅_3 ), мм</t>
  </si>
  <si>
    <t>Доверительная граница случайности ε_m ̅ ,
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</si>
</sst>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vertAlign val="sub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4" xfId="0" applyNumberFormat="1" applyFont="1" applyBorder="1" applyAlignment="1">
      <alignment vertical="center" wrapText="1"/>
    </xf>
    <xf numFmtId="0" fontId="0" fillId="0" borderId="0" xfId="0" applyNumberFormat="1"/>
    <xf numFmtId="0" fontId="1" fillId="0" borderId="1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1" fillId="0" borderId="2" xfId="0" applyNumberFormat="1" applyFont="1" applyBorder="1" applyAlignment="1">
      <alignment vertical="center" wrapText="1"/>
    </xf>
    <xf numFmtId="0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74B1-573C-4233-AC3D-197960DC6168}">
  <dimension ref="B2:AE15"/>
  <sheetViews>
    <sheetView tabSelected="1" topLeftCell="E4" workbookViewId="0">
      <selection activeCell="H7" sqref="H7"/>
    </sheetView>
  </sheetViews>
  <sheetFormatPr defaultRowHeight="14.5" x14ac:dyDescent="0.35"/>
  <cols>
    <col min="1" max="10" width="8.7265625" style="2"/>
    <col min="11" max="11" width="8.7265625" style="2" customWidth="1"/>
    <col min="12" max="16384" width="8.7265625" style="2"/>
  </cols>
  <sheetData>
    <row r="2" spans="2:31" x14ac:dyDescent="0.35">
      <c r="C2" s="2" t="s">
        <v>5</v>
      </c>
      <c r="D2" s="2">
        <v>5</v>
      </c>
      <c r="F2" s="2" t="s">
        <v>18</v>
      </c>
      <c r="G2" s="2">
        <v>2.37</v>
      </c>
    </row>
    <row r="3" spans="2:31" ht="15" thickBot="1" x14ac:dyDescent="0.4"/>
    <row r="4" spans="2:31" ht="124.5" thickBot="1" x14ac:dyDescent="0.4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H4" s="5" t="s">
        <v>6</v>
      </c>
      <c r="I4" s="5" t="s">
        <v>7</v>
      </c>
      <c r="J4" s="5" t="s">
        <v>8</v>
      </c>
      <c r="K4" s="5" t="s">
        <v>9</v>
      </c>
      <c r="M4" s="5" t="s">
        <v>10</v>
      </c>
      <c r="N4" s="7" t="s">
        <v>11</v>
      </c>
      <c r="O4" s="5" t="s">
        <v>12</v>
      </c>
      <c r="P4" s="7" t="s">
        <v>13</v>
      </c>
      <c r="R4" s="2" t="s">
        <v>14</v>
      </c>
      <c r="S4" s="7" t="s">
        <v>15</v>
      </c>
      <c r="T4" s="2" t="s">
        <v>16</v>
      </c>
      <c r="U4" s="7" t="s">
        <v>17</v>
      </c>
      <c r="W4" s="7" t="s">
        <v>19</v>
      </c>
      <c r="X4" s="7" t="s">
        <v>20</v>
      </c>
      <c r="Y4" s="7" t="s">
        <v>21</v>
      </c>
      <c r="Z4" s="7" t="s">
        <v>22</v>
      </c>
    </row>
    <row r="5" spans="2:31" ht="16" thickBot="1" x14ac:dyDescent="0.4">
      <c r="B5" s="6">
        <v>1</v>
      </c>
      <c r="C5" s="1">
        <v>69.92</v>
      </c>
      <c r="D5" s="1">
        <v>34.9</v>
      </c>
      <c r="E5" s="1">
        <v>8.86</v>
      </c>
      <c r="F5" s="1">
        <v>169.52</v>
      </c>
      <c r="H5" s="2">
        <f>SUM(C5:C9)/D2</f>
        <v>69.995999999999995</v>
      </c>
      <c r="I5" s="2">
        <f>SUM(D5:D9)/D2</f>
        <v>34.863999999999997</v>
      </c>
      <c r="J5" s="2">
        <f>SUM(E5:E9)/D2</f>
        <v>8.9199999999999982</v>
      </c>
      <c r="K5" s="2">
        <f>SUM(F5:F9)/D2</f>
        <v>169.50799999999998</v>
      </c>
      <c r="M5" s="2">
        <f>SQRT(1/($D$2 - 1)*SUM(C11:C15))</f>
        <v>8.1731266966807853E-2</v>
      </c>
      <c r="N5" s="2">
        <f t="shared" ref="N5:P5" si="0">SQRT(1/($D$2 - 1)*SUM(D11:D15))</f>
        <v>4.5607017003965633E-2</v>
      </c>
      <c r="O5" s="2">
        <f t="shared" si="0"/>
        <v>0.11916375287812961</v>
      </c>
      <c r="P5" s="2">
        <f>SQRT(1/($D$2 - 1)*SUM(F11:F15))</f>
        <v>1.0954451150108926E-2</v>
      </c>
      <c r="R5" s="2">
        <f>M5/SQRT($D$2)</f>
        <v>3.6551333764993081E-2</v>
      </c>
      <c r="S5" s="2">
        <f t="shared" ref="S5:U5" si="1">N5/SQRT($D$2)</f>
        <v>2.039607805437119E-2</v>
      </c>
      <c r="T5" s="2">
        <f t="shared" si="1"/>
        <v>5.32916503778968E-2</v>
      </c>
      <c r="U5" s="2">
        <f t="shared" si="1"/>
        <v>4.8989794855688615E-3</v>
      </c>
      <c r="W5" s="2">
        <f>$G$2*R5</f>
        <v>8.662666102303361E-2</v>
      </c>
      <c r="X5" s="2">
        <f t="shared" ref="X5:Z5" si="2">$G$2*S5</f>
        <v>4.833870498885972E-2</v>
      </c>
      <c r="Y5" s="2">
        <f t="shared" si="2"/>
        <v>0.12630121139561543</v>
      </c>
      <c r="Z5" s="2">
        <f t="shared" si="2"/>
        <v>1.1610581380798202E-2</v>
      </c>
      <c r="AB5" s="2">
        <f>SQRT(W5*W5+0.05*0.05)</f>
        <v>0.10002088981807536</v>
      </c>
      <c r="AC5" s="2">
        <f t="shared" ref="AC5:AE5" si="3">SQRT(X5*X5+0.05*0.05)</f>
        <v>6.9545887009944823E-2</v>
      </c>
      <c r="AD5" s="2">
        <f t="shared" si="3"/>
        <v>0.13583812425088893</v>
      </c>
      <c r="AE5" s="2">
        <f t="shared" si="3"/>
        <v>5.1330357489502626E-2</v>
      </c>
    </row>
    <row r="6" spans="2:31" ht="16" thickBot="1" x14ac:dyDescent="0.4">
      <c r="B6" s="6">
        <v>2</v>
      </c>
      <c r="C6" s="1">
        <v>69.900000000000006</v>
      </c>
      <c r="D6" s="1">
        <v>34.92</v>
      </c>
      <c r="E6" s="1">
        <v>8.84</v>
      </c>
      <c r="F6" s="1">
        <v>169.5</v>
      </c>
    </row>
    <row r="7" spans="2:31" ht="16" thickBot="1" x14ac:dyDescent="0.4">
      <c r="B7" s="6">
        <v>3</v>
      </c>
      <c r="C7" s="1">
        <v>70.06</v>
      </c>
      <c r="D7" s="1">
        <v>34.86</v>
      </c>
      <c r="E7" s="1">
        <v>9.1199999999999992</v>
      </c>
      <c r="F7" s="1">
        <v>169.5</v>
      </c>
      <c r="H7" s="2">
        <f>K5/(H5*I5*J5)</f>
        <v>7.7870849050864759E-3</v>
      </c>
      <c r="I7" s="2">
        <f>1000000*H7</f>
        <v>7787.0849050864763</v>
      </c>
    </row>
    <row r="8" spans="2:31" ht="16" thickBot="1" x14ac:dyDescent="0.4">
      <c r="B8" s="6">
        <v>4</v>
      </c>
      <c r="C8" s="1">
        <v>70.02</v>
      </c>
      <c r="D8" s="1">
        <v>34.82</v>
      </c>
      <c r="E8" s="1">
        <v>8.94</v>
      </c>
      <c r="F8" s="1">
        <v>169.5</v>
      </c>
      <c r="AB8" s="2">
        <f>1000000*H7*SQRT(POWER(AE5/K5,2)+POWER(AB5/H5,2)+POWER(AC5/I5,2)+POWER(AD5/J5,2))</f>
        <v>120.13824664039571</v>
      </c>
    </row>
    <row r="9" spans="2:31" ht="16" thickBot="1" x14ac:dyDescent="0.4">
      <c r="B9" s="6">
        <v>5</v>
      </c>
      <c r="C9" s="1">
        <v>70.08</v>
      </c>
      <c r="D9" s="1">
        <v>34.82</v>
      </c>
      <c r="E9" s="1">
        <v>8.84</v>
      </c>
      <c r="F9" s="1">
        <v>169.52</v>
      </c>
    </row>
    <row r="11" spans="2:31" x14ac:dyDescent="0.35">
      <c r="C11" s="2">
        <f>POWER(C5-H$5,2)</f>
        <v>5.7759999999989981E-3</v>
      </c>
      <c r="D11" s="2">
        <f>POWER(D5-I$5,2)</f>
        <v>1.2960000000000983E-3</v>
      </c>
      <c r="E11" s="2">
        <f t="shared" ref="D11:F15" si="4">POWER(E5-J$5,2)</f>
        <v>3.5999999999998464E-3</v>
      </c>
      <c r="F11" s="2">
        <f t="shared" si="4"/>
        <v>1.4400000000069303E-4</v>
      </c>
    </row>
    <row r="12" spans="2:31" x14ac:dyDescent="0.35">
      <c r="C12" s="2">
        <f t="shared" ref="C12:C15" si="5">POWER(C6-H$5,2)</f>
        <v>9.2159999999979706E-3</v>
      </c>
      <c r="D12" s="2">
        <f t="shared" si="4"/>
        <v>3.136000000000503E-3</v>
      </c>
      <c r="E12" s="2">
        <f t="shared" si="4"/>
        <v>6.3999999999997271E-3</v>
      </c>
      <c r="F12" s="2">
        <f t="shared" si="4"/>
        <v>6.3999999999701692E-5</v>
      </c>
    </row>
    <row r="13" spans="2:31" x14ac:dyDescent="0.35">
      <c r="C13" s="2">
        <f t="shared" si="5"/>
        <v>4.0960000000009166E-3</v>
      </c>
      <c r="D13" s="2">
        <f t="shared" si="4"/>
        <v>1.5999999999982266E-5</v>
      </c>
      <c r="E13" s="2">
        <f t="shared" si="4"/>
        <v>4.0000000000000424E-2</v>
      </c>
      <c r="F13" s="2">
        <f>POWER(F7-K$5,2)</f>
        <v>6.3999999999701692E-5</v>
      </c>
    </row>
    <row r="14" spans="2:31" x14ac:dyDescent="0.35">
      <c r="C14" s="2">
        <f t="shared" si="5"/>
        <v>5.7600000000004371E-4</v>
      </c>
      <c r="D14" s="2">
        <f t="shared" si="4"/>
        <v>1.9359999999997298E-3</v>
      </c>
      <c r="E14" s="2">
        <f t="shared" si="4"/>
        <v>4.0000000000005401E-4</v>
      </c>
      <c r="F14" s="2">
        <f t="shared" si="4"/>
        <v>6.3999999999701692E-5</v>
      </c>
    </row>
    <row r="15" spans="2:31" x14ac:dyDescent="0.35">
      <c r="C15" s="2">
        <f t="shared" si="5"/>
        <v>7.0560000000005349E-3</v>
      </c>
      <c r="D15" s="2">
        <f t="shared" si="4"/>
        <v>1.9359999999997298E-3</v>
      </c>
      <c r="E15" s="2">
        <f t="shared" si="4"/>
        <v>6.3999999999997271E-3</v>
      </c>
      <c r="F15" s="2">
        <f t="shared" si="4"/>
        <v>1.4400000000069303E-4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Ravil Bayanov</dc:creator>
  <cp:lastModifiedBy>Ravil Bayanov</cp:lastModifiedBy>
  <dcterms:created xsi:type="dcterms:W3CDTF">2025-09-21T18:02:53Z</dcterms:created>
  <dcterms:modified xsi:type="dcterms:W3CDTF">2025-09-21T23:50:39Z</dcterms:modified>
</cp:coreProperties>
</file>